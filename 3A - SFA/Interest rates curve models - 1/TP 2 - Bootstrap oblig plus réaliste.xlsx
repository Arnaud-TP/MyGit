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Google Drive\Supports formations\ENSAE - MCTI\2022\"/>
    </mc:Choice>
  </mc:AlternateContent>
  <xr:revisionPtr revIDLastSave="0" documentId="13_ncr:1_{98380E54-91C8-413F-943A-DFF950AA6C6D}" xr6:coauthVersionLast="47" xr6:coauthVersionMax="47" xr10:uidLastSave="{00000000-0000-0000-0000-000000000000}"/>
  <bookViews>
    <workbookView xWindow="-108" yWindow="-108" windowWidth="23256" windowHeight="12720" xr2:uid="{92E99BEE-77FA-4FF0-9072-236D67A2D0DA}"/>
  </bookViews>
  <sheets>
    <sheet name="Bootstrap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" i="2" l="1"/>
  <c r="D16" i="2"/>
  <c r="D15" i="2"/>
  <c r="D18" i="2" l="1"/>
  <c r="C18" i="2"/>
  <c r="B18" i="2"/>
  <c r="I9" i="2"/>
  <c r="D27" i="2" l="1"/>
  <c r="C27" i="2" s="1"/>
  <c r="C28" i="2"/>
  <c r="C26" i="2"/>
  <c r="D25" i="2"/>
  <c r="C25" i="2" s="1"/>
  <c r="D24" i="2"/>
  <c r="C24" i="2" s="1"/>
  <c r="D23" i="2"/>
  <c r="C23" i="2" s="1"/>
  <c r="C22" i="2"/>
  <c r="B16" i="2"/>
  <c r="B17" i="2"/>
  <c r="B19" i="2"/>
  <c r="B20" i="2"/>
  <c r="B21" i="2"/>
  <c r="B22" i="2"/>
  <c r="B23" i="2"/>
  <c r="B24" i="2"/>
  <c r="B25" i="2"/>
  <c r="B26" i="2"/>
  <c r="B27" i="2"/>
  <c r="B28" i="2"/>
  <c r="B15" i="2"/>
  <c r="M12" i="2"/>
  <c r="M11" i="2"/>
  <c r="M10" i="2"/>
  <c r="M9" i="2"/>
  <c r="M8" i="2"/>
  <c r="M7" i="2"/>
  <c r="D10" i="2" s="1"/>
  <c r="G7" i="2"/>
  <c r="D7" i="2" s="1"/>
  <c r="K10" i="2"/>
  <c r="K9" i="2"/>
  <c r="K8" i="2"/>
  <c r="K7" i="2"/>
  <c r="D9" i="2" s="1"/>
  <c r="D8" i="2"/>
  <c r="I8" i="2"/>
  <c r="I7" i="2"/>
  <c r="D20" i="2" l="1"/>
  <c r="C20" i="2" s="1"/>
  <c r="C15" i="2"/>
  <c r="D19" i="2"/>
  <c r="C19" i="2" s="1"/>
  <c r="C16" i="2"/>
  <c r="D21" i="2"/>
  <c r="C21" i="2" s="1"/>
  <c r="C17" i="2"/>
  <c r="E22" i="2" l="1"/>
  <c r="E26" i="2"/>
  <c r="E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D22" authorId="0" shapeId="0" xr:uid="{D7C2DA0F-424D-4236-BCD9-161D1CCF17CE}">
      <text>
        <r>
          <rPr>
            <sz val="9"/>
            <color indexed="81"/>
            <rFont val="Tahoma"/>
            <family val="2"/>
          </rPr>
          <t>Déterminé par valeur cible de telle sorte que le prix de l'oblig soit égal à celui fourni en input</t>
        </r>
      </text>
    </comment>
    <comment ref="D26" authorId="0" shapeId="0" xr:uid="{2425AEC3-5279-44F1-9F52-6E5DB28CC112}">
      <text>
        <r>
          <rPr>
            <sz val="9"/>
            <color indexed="81"/>
            <rFont val="Tahoma"/>
            <family val="2"/>
          </rPr>
          <t>Déterminé par valeur cible de telle sorte que le prix de l'oblig soit égal à celui fourni en input</t>
        </r>
      </text>
    </comment>
    <comment ref="D28" authorId="0" shapeId="0" xr:uid="{8839E76F-4889-483F-8CE4-5EAC8AE097FC}">
      <text>
        <r>
          <rPr>
            <sz val="9"/>
            <color indexed="81"/>
            <rFont val="Tahoma"/>
            <family val="2"/>
          </rPr>
          <t>Déterminé par valeur cible de telle sorte que le prix de l'oblig soit égal à celui fourni en input</t>
        </r>
      </text>
    </comment>
  </commentList>
</comments>
</file>

<file path=xl/sharedStrings.xml><?xml version="1.0" encoding="utf-8"?>
<sst xmlns="http://schemas.openxmlformats.org/spreadsheetml/2006/main" count="14" uniqueCount="13">
  <si>
    <t>Maturité</t>
  </si>
  <si>
    <t>TRA</t>
  </si>
  <si>
    <t>Coupon</t>
  </si>
  <si>
    <t>Un bootstrap plus réaliste de la courbe zéro-coupon !</t>
  </si>
  <si>
    <t xml:space="preserve">Déterminer la courbe zéro-coupon correspondante. </t>
  </si>
  <si>
    <t>Nous sommes le 7 avril 2020. Voici plus bas les caractéristiques et le TRA de 4 obligations liquides (coupons annuels)</t>
  </si>
  <si>
    <t>Vous aurez besoin d'utiliser une méthode d'interpolation sur les taux zéro-coupon : allons au plus simple et contentons nous d'une interpolation linéaire !</t>
  </si>
  <si>
    <t>PRIX</t>
  </si>
  <si>
    <t>DF</t>
  </si>
  <si>
    <t>Taux ZC</t>
  </si>
  <si>
    <t>As of date</t>
  </si>
  <si>
    <t>Mat (years)</t>
  </si>
  <si>
    <t>Dates et valeurs actuelles des flux des 4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</si>
</sst>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"/>
    <numFmt numFmtId="166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1" xfId="0" applyFont="1" applyBorder="1" applyAlignment="1">
      <alignment horizontal="center"/>
    </xf>
    <xf numFmtId="15" fontId="0" fillId="0" borderId="0" xfId="0" applyNumberFormat="1"/>
    <xf numFmtId="0" fontId="2" fillId="0" borderId="0" xfId="0" applyFont="1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1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165" fontId="2" fillId="0" borderId="0" xfId="0" applyNumberFormat="1" applyFont="1" applyAlignment="1">
      <alignment horizontal="center"/>
    </xf>
    <xf numFmtId="0" fontId="4" fillId="0" borderId="0" xfId="0" applyFont="1"/>
    <xf numFmtId="1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0" fontId="3" fillId="0" borderId="0" xfId="0" applyNumberFormat="1" applyFont="1" applyBorder="1" applyAlignment="1">
      <alignment horizontal="center"/>
    </xf>
    <xf numFmtId="15" fontId="0" fillId="0" borderId="11" xfId="0" applyNumberFormat="1" applyBorder="1"/>
    <xf numFmtId="0" fontId="0" fillId="0" borderId="13" xfId="0" applyBorder="1"/>
    <xf numFmtId="15" fontId="0" fillId="0" borderId="14" xfId="0" applyNumberFormat="1" applyBorder="1"/>
    <xf numFmtId="0" fontId="0" fillId="0" borderId="15" xfId="0" applyBorder="1"/>
    <xf numFmtId="15" fontId="0" fillId="0" borderId="16" xfId="0" applyNumberFormat="1" applyBorder="1"/>
    <xf numFmtId="0" fontId="0" fillId="0" borderId="17" xfId="0" applyBorder="1"/>
    <xf numFmtId="15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0" xfId="0" applyBorder="1"/>
    <xf numFmtId="0" fontId="2" fillId="0" borderId="21" xfId="0" applyFont="1" applyFill="1" applyBorder="1" applyAlignment="1">
      <alignment horizontal="center"/>
    </xf>
    <xf numFmtId="10" fontId="5" fillId="0" borderId="7" xfId="0" applyNumberFormat="1" applyFont="1" applyBorder="1" applyAlignment="1">
      <alignment horizontal="center"/>
    </xf>
    <xf numFmtId="10" fontId="5" fillId="0" borderId="10" xfId="0" applyNumberFormat="1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15" fontId="0" fillId="0" borderId="0" xfId="0" applyNumberFormat="1" applyFont="1" applyBorder="1" applyAlignment="1">
      <alignment horizontal="center"/>
    </xf>
    <xf numFmtId="15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5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5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/>
    <xf numFmtId="15" fontId="12" fillId="0" borderId="11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4" fontId="12" fillId="0" borderId="12" xfId="1" applyNumberFormat="1" applyFont="1" applyBorder="1" applyAlignment="1">
      <alignment horizontal="center"/>
    </xf>
    <xf numFmtId="15" fontId="7" fillId="0" borderId="11" xfId="0" applyNumberFormat="1" applyFont="1" applyBorder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15" fontId="11" fillId="0" borderId="11" xfId="0" applyNumberFormat="1" applyFont="1" applyBorder="1" applyAlignment="1">
      <alignment horizontal="center"/>
    </xf>
    <xf numFmtId="15" fontId="9" fillId="0" borderId="11" xfId="0" applyNumberFormat="1" applyFont="1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165" fontId="7" fillId="0" borderId="12" xfId="0" applyNumberFormat="1" applyFont="1" applyBorder="1" applyAlignment="1">
      <alignment horizontal="center"/>
    </xf>
    <xf numFmtId="165" fontId="9" fillId="0" borderId="13" xfId="0" applyNumberFormat="1" applyFont="1" applyBorder="1" applyAlignment="1">
      <alignment horizontal="center"/>
    </xf>
    <xf numFmtId="165" fontId="11" fillId="0" borderId="13" xfId="0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/>
    </xf>
    <xf numFmtId="164" fontId="10" fillId="0" borderId="0" xfId="1" applyNumberFormat="1" applyFont="1" applyAlignment="1">
      <alignment horizontal="center"/>
    </xf>
    <xf numFmtId="165" fontId="11" fillId="0" borderId="1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66" fontId="12" fillId="0" borderId="13" xfId="0" applyNumberFormat="1" applyFont="1" applyBorder="1" applyAlignment="1">
      <alignment horizontal="center"/>
    </xf>
    <xf numFmtId="166" fontId="7" fillId="0" borderId="13" xfId="0" applyNumberFormat="1" applyFont="1" applyBorder="1" applyAlignment="1">
      <alignment horizontal="center"/>
    </xf>
    <xf numFmtId="166" fontId="11" fillId="0" borderId="13" xfId="0" applyNumberFormat="1" applyFont="1" applyBorder="1" applyAlignment="1">
      <alignment horizontal="center"/>
    </xf>
    <xf numFmtId="166" fontId="9" fillId="0" borderId="13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  <xf numFmtId="165" fontId="9" fillId="0" borderId="12" xfId="0" applyNumberFormat="1" applyFont="1" applyBorder="1" applyAlignment="1">
      <alignment horizontal="center"/>
    </xf>
    <xf numFmtId="164" fontId="9" fillId="0" borderId="13" xfId="0" applyNumberFormat="1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Bootstrap!$D$14</c:f>
              <c:strCache>
                <c:ptCount val="1"/>
                <c:pt idx="0">
                  <c:v>Taux ZC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Bootstrap!$B$15:$B$28</c:f>
              <c:numCache>
                <c:formatCode>0.000</c:formatCode>
                <c:ptCount val="14"/>
                <c:pt idx="0">
                  <c:v>0.49041095890410957</c:v>
                </c:pt>
                <c:pt idx="1">
                  <c:v>0.49589041095890413</c:v>
                </c:pt>
                <c:pt idx="2">
                  <c:v>0.84109589041095889</c:v>
                </c:pt>
                <c:pt idx="3">
                  <c:v>0.9342465753424658</c:v>
                </c:pt>
                <c:pt idx="4">
                  <c:v>1.4904109589041097</c:v>
                </c:pt>
                <c:pt idx="5">
                  <c:v>1.4958904109589042</c:v>
                </c:pt>
                <c:pt idx="6">
                  <c:v>1.8410958904109589</c:v>
                </c:pt>
                <c:pt idx="7">
                  <c:v>2.4904109589041097</c:v>
                </c:pt>
                <c:pt idx="8">
                  <c:v>2.495890410958904</c:v>
                </c:pt>
                <c:pt idx="9">
                  <c:v>2.8410958904109589</c:v>
                </c:pt>
                <c:pt idx="10">
                  <c:v>3.495890410958904</c:v>
                </c:pt>
                <c:pt idx="11">
                  <c:v>3.8410958904109589</c:v>
                </c:pt>
                <c:pt idx="12">
                  <c:v>4.4986301369863018</c:v>
                </c:pt>
                <c:pt idx="13">
                  <c:v>5.4986301369863018</c:v>
                </c:pt>
              </c:numCache>
            </c:numRef>
          </c:xVal>
          <c:yVal>
            <c:numRef>
              <c:f>Bootstrap!$D$15:$D$28</c:f>
              <c:numCache>
                <c:formatCode>0.000%</c:formatCode>
                <c:ptCount val="14"/>
                <c:pt idx="0">
                  <c:v>6.0851374855806573E-3</c:v>
                </c:pt>
                <c:pt idx="1">
                  <c:v>6.1075431956352172E-3</c:v>
                </c:pt>
                <c:pt idx="2">
                  <c:v>7.5191029290724975E-3</c:v>
                </c:pt>
                <c:pt idx="3">
                  <c:v>7.9000000000000181E-3</c:v>
                </c:pt>
                <c:pt idx="4">
                  <c:v>1.0174179570537858E-2</c:v>
                </c:pt>
                <c:pt idx="5">
                  <c:v>1.0196585280592418E-2</c:v>
                </c:pt>
                <c:pt idx="6">
                  <c:v>1.16081450140297E-2</c:v>
                </c:pt>
                <c:pt idx="7">
                  <c:v>1.4263221655495061E-2</c:v>
                </c:pt>
                <c:pt idx="8">
                  <c:v>1.4273307701643994E-2</c:v>
                </c:pt>
                <c:pt idx="9">
                  <c:v>1.4908728609026787E-2</c:v>
                </c:pt>
                <c:pt idx="10">
                  <c:v>1.6114011123824306E-2</c:v>
                </c:pt>
                <c:pt idx="11">
                  <c:v>1.6749432031207101E-2</c:v>
                </c:pt>
                <c:pt idx="12">
                  <c:v>1.7515369759235035E-2</c:v>
                </c:pt>
                <c:pt idx="13">
                  <c:v>1.868023338727752E-2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2A-46D2-98A1-BB6591B3D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177800"/>
        <c:axId val="419182392"/>
      </c:scatterChart>
      <c:valAx>
        <c:axId val="419177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182392"/>
        <c:crosses val="autoZero"/>
        <c:crossBetween val="midCat"/>
      </c:valAx>
      <c:valAx>
        <c:axId val="41918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177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10</xdr:col>
      <xdr:colOff>596348</xdr:colOff>
      <xdr:row>27</xdr:row>
      <xdr:rowOff>145774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984962E-10FB-4DEA-B5F2-EF8A51B8F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16A3-A8D2-4E5C-ACD6-492A4FD3316A}">
  <dimension ref="A1:M28"/>
  <sheetViews>
    <sheetView tabSelected="1" zoomScale="115" zoomScaleNormal="115" workbookViewId="0"/>
  </sheetViews>
  <sheetFormatPr baseColWidth="10" defaultRowHeight="14.4" x14ac:dyDescent="0.3"/>
  <sheetData>
    <row r="1" spans="1:13" x14ac:dyDescent="0.3">
      <c r="A1" s="3" t="s">
        <v>3</v>
      </c>
    </row>
    <row r="2" spans="1:13" x14ac:dyDescent="0.3">
      <c r="A2" t="s">
        <v>5</v>
      </c>
    </row>
    <row r="3" spans="1:13" x14ac:dyDescent="0.3">
      <c r="A3" t="s">
        <v>4</v>
      </c>
    </row>
    <row r="4" spans="1:13" x14ac:dyDescent="0.3">
      <c r="A4" t="s">
        <v>6</v>
      </c>
    </row>
    <row r="5" spans="1:13" ht="15" thickBot="1" x14ac:dyDescent="0.35"/>
    <row r="6" spans="1:13" x14ac:dyDescent="0.3">
      <c r="A6" s="5" t="s">
        <v>0</v>
      </c>
      <c r="B6" s="6" t="s">
        <v>2</v>
      </c>
      <c r="C6" s="7" t="s">
        <v>1</v>
      </c>
      <c r="D6" s="27" t="s">
        <v>7</v>
      </c>
      <c r="F6" s="13" t="s">
        <v>12</v>
      </c>
    </row>
    <row r="7" spans="1:13" x14ac:dyDescent="0.3">
      <c r="A7" s="8">
        <v>44269</v>
      </c>
      <c r="B7" s="4">
        <v>3.75</v>
      </c>
      <c r="C7" s="28">
        <v>7.9000000000000008E-3</v>
      </c>
      <c r="D7" s="12">
        <f>G7</f>
        <v>102.99007369516856</v>
      </c>
      <c r="F7" s="17">
        <v>44269</v>
      </c>
      <c r="G7" s="18">
        <f>(100+$B$7)/(1+$C$7)^((F7-$B$12)/365)</f>
        <v>102.99007369516856</v>
      </c>
      <c r="H7" s="19">
        <v>44107</v>
      </c>
      <c r="I7" s="25">
        <f>$B$8/(1+$C$8)^((H7-$B$12)/365)</f>
        <v>1.5393189454823391</v>
      </c>
      <c r="J7" s="19">
        <v>44235</v>
      </c>
      <c r="K7" s="25">
        <f>$B$9/(1+$C$9)^((J7-$B$12)/365)</f>
        <v>0.83824133231610942</v>
      </c>
      <c r="L7" s="19">
        <v>44109</v>
      </c>
      <c r="M7" s="20">
        <f>$B$10/(1+$C$10)^((L7-$B$12)/365)</f>
        <v>2.2296398508599453</v>
      </c>
    </row>
    <row r="8" spans="1:13" x14ac:dyDescent="0.3">
      <c r="A8" s="8">
        <v>44837</v>
      </c>
      <c r="B8" s="4">
        <v>1.55</v>
      </c>
      <c r="C8" s="28">
        <v>1.4200000000000001E-2</v>
      </c>
      <c r="D8" s="12">
        <f>SUM(I7:I9)</f>
        <v>101.10302946856544</v>
      </c>
      <c r="H8" s="21">
        <v>44472</v>
      </c>
      <c r="I8" s="26">
        <f t="shared" ref="I8" si="0">$B$8/(1+$C$8)^((H8-$B$12)/365)</f>
        <v>1.5177666589255956</v>
      </c>
      <c r="J8" s="21">
        <v>44600</v>
      </c>
      <c r="K8" s="26">
        <f t="shared" ref="K8:K9" si="1">$B$9/(1+$C$9)^((J8-$B$12)/365)</f>
        <v>0.8244726392407884</v>
      </c>
      <c r="L8" s="21">
        <v>44474</v>
      </c>
      <c r="M8" s="22">
        <f t="shared" ref="M8:M11" si="2">$B$10/(1+$C$10)^((L8-$B$12)/365)</f>
        <v>2.1891407470397106</v>
      </c>
    </row>
    <row r="9" spans="1:13" x14ac:dyDescent="0.3">
      <c r="A9" s="8">
        <v>45330</v>
      </c>
      <c r="B9" s="4">
        <v>0.85</v>
      </c>
      <c r="C9" s="28">
        <v>1.67E-2</v>
      </c>
      <c r="D9" s="12">
        <f>SUM(K7:K10)</f>
        <v>97.107726937535602</v>
      </c>
      <c r="H9" s="23">
        <v>44837</v>
      </c>
      <c r="I9" s="11">
        <f>(100+$B$8)/(1+$C$8)^((H9-$B$12)/365)</f>
        <v>98.045943864157508</v>
      </c>
      <c r="J9" s="21">
        <v>44965</v>
      </c>
      <c r="K9" s="26">
        <f t="shared" si="1"/>
        <v>0.81093010646285879</v>
      </c>
      <c r="L9" s="21">
        <v>44839</v>
      </c>
      <c r="M9" s="22">
        <f t="shared" si="2"/>
        <v>2.1493772675893084</v>
      </c>
    </row>
    <row r="10" spans="1:13" ht="15" thickBot="1" x14ac:dyDescent="0.35">
      <c r="A10" s="9">
        <v>45935</v>
      </c>
      <c r="B10" s="10">
        <v>2.25</v>
      </c>
      <c r="C10" s="29">
        <v>1.8499999999999999E-2</v>
      </c>
      <c r="D10" s="12">
        <f>SUM(M7:M12)</f>
        <v>103.19648201017588</v>
      </c>
      <c r="J10" s="23">
        <v>45330</v>
      </c>
      <c r="K10" s="11">
        <f>(100+$B$9)/(1+$C$9)^((J10-$B$12)/365)</f>
        <v>94.634082859515843</v>
      </c>
      <c r="L10" s="21">
        <v>45204</v>
      </c>
      <c r="M10" s="22">
        <f t="shared" si="2"/>
        <v>2.1103360506522422</v>
      </c>
    </row>
    <row r="11" spans="1:13" x14ac:dyDescent="0.3">
      <c r="A11" s="14"/>
      <c r="B11" s="15"/>
      <c r="C11" s="16"/>
      <c r="L11" s="21">
        <v>45570</v>
      </c>
      <c r="M11" s="22">
        <f t="shared" si="2"/>
        <v>2.0718999199217745</v>
      </c>
    </row>
    <row r="12" spans="1:13" x14ac:dyDescent="0.3">
      <c r="A12" s="30" t="s">
        <v>10</v>
      </c>
      <c r="B12" s="31">
        <v>43928</v>
      </c>
      <c r="C12" s="16"/>
      <c r="L12" s="23">
        <v>45935</v>
      </c>
      <c r="M12" s="24">
        <f>(100+$B$10)/(1+$C$10)^((L12-$B$12)/365)</f>
        <v>92.446088174112901</v>
      </c>
    </row>
    <row r="14" spans="1:13" x14ac:dyDescent="0.3">
      <c r="A14" s="1" t="s">
        <v>0</v>
      </c>
      <c r="B14" s="1" t="s">
        <v>11</v>
      </c>
      <c r="C14" s="1" t="s">
        <v>8</v>
      </c>
      <c r="D14" s="1" t="s">
        <v>9</v>
      </c>
    </row>
    <row r="15" spans="1:13" x14ac:dyDescent="0.3">
      <c r="A15" s="32">
        <v>44107</v>
      </c>
      <c r="B15" s="33">
        <f>(A15-$B$12)/365</f>
        <v>0.49041095890410957</v>
      </c>
      <c r="C15" s="56">
        <f>1/(1+D15)^B15</f>
        <v>0.997029246360016</v>
      </c>
      <c r="D15" s="34">
        <f t="shared" ref="D15:D17" si="3">($D$22-$D$18)/($B$22-$B$18)*(B15-$B$18)+$D$18</f>
        <v>6.0851374855806573E-3</v>
      </c>
    </row>
    <row r="16" spans="1:13" x14ac:dyDescent="0.3">
      <c r="A16" s="35">
        <v>44109</v>
      </c>
      <c r="B16" s="36">
        <f t="shared" ref="B16:B28" si="4">(A16-$B$12)/365</f>
        <v>0.49589041095890413</v>
      </c>
      <c r="C16" s="57">
        <f t="shared" ref="C16:C28" si="5">1/(1+D16)^B16</f>
        <v>0.9969850932675266</v>
      </c>
      <c r="D16" s="37">
        <f t="shared" si="3"/>
        <v>6.1075431956352172E-3</v>
      </c>
    </row>
    <row r="17" spans="1:10" x14ac:dyDescent="0.3">
      <c r="A17" s="38">
        <v>44235</v>
      </c>
      <c r="B17" s="39">
        <f t="shared" si="4"/>
        <v>0.84109589041095889</v>
      </c>
      <c r="C17" s="58">
        <f t="shared" si="5"/>
        <v>0.99371917872957272</v>
      </c>
      <c r="D17" s="40">
        <f t="shared" si="3"/>
        <v>7.5191029290724975E-3</v>
      </c>
    </row>
    <row r="18" spans="1:10" x14ac:dyDescent="0.3">
      <c r="A18" s="42">
        <v>44269</v>
      </c>
      <c r="B18" s="43">
        <f>(A18-$B$12)/365</f>
        <v>0.9342465753424658</v>
      </c>
      <c r="C18" s="59">
        <f>D7/(100+B7)</f>
        <v>0.99267540911005847</v>
      </c>
      <c r="D18" s="44">
        <f>(1/C18)^(1/B18)-1</f>
        <v>7.9000000000000181E-3</v>
      </c>
    </row>
    <row r="19" spans="1:10" x14ac:dyDescent="0.3">
      <c r="A19" s="32">
        <v>44472</v>
      </c>
      <c r="B19" s="33">
        <f t="shared" si="4"/>
        <v>1.4904109589041097</v>
      </c>
      <c r="C19" s="56">
        <f t="shared" si="5"/>
        <v>0.98502615108254166</v>
      </c>
      <c r="D19" s="34">
        <f>($D$22-$D$18)/($B$22-$B$18)*(B19-$B$18)+$D$18</f>
        <v>1.0174179570537858E-2</v>
      </c>
    </row>
    <row r="20" spans="1:10" x14ac:dyDescent="0.3">
      <c r="A20" s="35">
        <v>44474</v>
      </c>
      <c r="B20" s="36">
        <f t="shared" si="4"/>
        <v>1.4958904109589042</v>
      </c>
      <c r="C20" s="57">
        <f t="shared" si="5"/>
        <v>0.98493883653230441</v>
      </c>
      <c r="D20" s="37">
        <f t="shared" ref="D20:D21" si="6">($D$22-$D$18)/($B$22-$B$18)*(B20-$B$18)+$D$18</f>
        <v>1.0196585280592418E-2</v>
      </c>
    </row>
    <row r="21" spans="1:10" x14ac:dyDescent="0.3">
      <c r="A21" s="38">
        <v>44600</v>
      </c>
      <c r="B21" s="39">
        <f t="shared" si="4"/>
        <v>1.8410958904109589</v>
      </c>
      <c r="C21" s="58">
        <f t="shared" si="5"/>
        <v>0.97897554454846702</v>
      </c>
      <c r="D21" s="40">
        <f t="shared" si="6"/>
        <v>1.16081450140297E-2</v>
      </c>
      <c r="H21" s="2"/>
      <c r="J21" s="2"/>
    </row>
    <row r="22" spans="1:10" x14ac:dyDescent="0.3">
      <c r="A22" s="45">
        <v>44837</v>
      </c>
      <c r="B22" s="46">
        <f t="shared" si="4"/>
        <v>2.4904109589041097</v>
      </c>
      <c r="C22" s="60">
        <f t="shared" si="5"/>
        <v>0.96534440698798141</v>
      </c>
      <c r="D22" s="49">
        <v>1.4263221655495061E-2</v>
      </c>
      <c r="E22" s="50">
        <f>B8*C15+B8*C19+(100+B8)*C22</f>
        <v>101.10291039566548</v>
      </c>
      <c r="J22" s="2"/>
    </row>
    <row r="23" spans="1:10" x14ac:dyDescent="0.3">
      <c r="A23" s="35">
        <v>44839</v>
      </c>
      <c r="B23" s="36">
        <f t="shared" si="4"/>
        <v>2.495890410958904</v>
      </c>
      <c r="C23" s="57">
        <f t="shared" si="5"/>
        <v>0.96524553949923209</v>
      </c>
      <c r="D23" s="53">
        <f>($D$26-$D$22)/($B$26-$B$22)*(B23-$B$22)+$D$22</f>
        <v>1.4273307701643994E-2</v>
      </c>
      <c r="J23" s="2"/>
    </row>
    <row r="24" spans="1:10" x14ac:dyDescent="0.3">
      <c r="A24" s="38">
        <v>44965</v>
      </c>
      <c r="B24" s="39">
        <f t="shared" si="4"/>
        <v>2.8410958904109589</v>
      </c>
      <c r="C24" s="58">
        <f t="shared" si="5"/>
        <v>0.95882712553965621</v>
      </c>
      <c r="D24" s="54">
        <f t="shared" ref="D24:D25" si="7">($D$26-$D$22)/($B$26-$B$22)*(B24-$B$22)+$D$22</f>
        <v>1.4908728609026787E-2</v>
      </c>
      <c r="E24" s="41"/>
      <c r="J24" s="2"/>
    </row>
    <row r="25" spans="1:10" x14ac:dyDescent="0.3">
      <c r="A25" s="35">
        <v>45204</v>
      </c>
      <c r="B25" s="36">
        <f t="shared" si="4"/>
        <v>3.495890410958904</v>
      </c>
      <c r="C25" s="57">
        <f t="shared" si="5"/>
        <v>0.94564905099919361</v>
      </c>
      <c r="D25" s="53">
        <f t="shared" si="7"/>
        <v>1.6114011123824306E-2</v>
      </c>
      <c r="J25" s="2"/>
    </row>
    <row r="26" spans="1:10" x14ac:dyDescent="0.3">
      <c r="A26" s="47">
        <v>45330</v>
      </c>
      <c r="B26" s="52">
        <f t="shared" si="4"/>
        <v>3.8410958904109589</v>
      </c>
      <c r="C26" s="61">
        <f t="shared" si="5"/>
        <v>0.93818950530839662</v>
      </c>
      <c r="D26" s="63">
        <v>1.6749432031207101E-2</v>
      </c>
      <c r="E26" s="55">
        <f>B9*(C17+C21+C24)+(100+B9)*C26</f>
        <v>97.108205181846827</v>
      </c>
      <c r="J26" s="2"/>
    </row>
    <row r="27" spans="1:10" x14ac:dyDescent="0.3">
      <c r="A27" s="35">
        <v>45570</v>
      </c>
      <c r="B27" s="36">
        <f t="shared" si="4"/>
        <v>4.4986301369863018</v>
      </c>
      <c r="C27" s="57">
        <f t="shared" si="5"/>
        <v>0.92485985560021333</v>
      </c>
      <c r="D27" s="37">
        <f>($D$28-$D$26)/($B$28-$B$26)*(B27-$B$26)+$D$26</f>
        <v>1.7515369759235035E-2</v>
      </c>
      <c r="J27" s="2"/>
    </row>
    <row r="28" spans="1:10" x14ac:dyDescent="0.3">
      <c r="A28" s="48">
        <v>45935</v>
      </c>
      <c r="B28" s="51">
        <f t="shared" si="4"/>
        <v>5.4986301369863018</v>
      </c>
      <c r="C28" s="62">
        <f t="shared" si="5"/>
        <v>0.90323898818058246</v>
      </c>
      <c r="D28" s="65">
        <v>1.868023338727752E-2</v>
      </c>
      <c r="E28" s="64">
        <f>B10*(C16+C20+C23+C25+C27)+(100+B10)*C28</f>
        <v>103.19596288723611</v>
      </c>
      <c r="J28" s="2"/>
    </row>
  </sheetData>
  <sortState xmlns:xlrd2="http://schemas.microsoft.com/office/spreadsheetml/2017/richdata2" ref="J15:J28">
    <sortCondition ref="J15:J28"/>
  </sortState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</cp:lastModifiedBy>
  <dcterms:created xsi:type="dcterms:W3CDTF">2020-04-01T13:15:59Z</dcterms:created>
  <dcterms:modified xsi:type="dcterms:W3CDTF">2022-02-04T15:29:42Z</dcterms:modified>
</cp:coreProperties>
</file>