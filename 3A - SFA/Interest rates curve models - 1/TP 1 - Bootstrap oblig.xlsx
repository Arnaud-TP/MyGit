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ud\Desktop\MyGit\3A - SFA\Interest rates curve models\"/>
    </mc:Choice>
  </mc:AlternateContent>
  <xr:revisionPtr revIDLastSave="0" documentId="8_{4B7018A7-98D1-4188-ACC5-AE3A134E90FB}" xr6:coauthVersionLast="47" xr6:coauthVersionMax="47" xr10:uidLastSave="{00000000-0000-0000-0000-000000000000}"/>
  <bookViews>
    <workbookView xWindow="1536" yWindow="1536" windowWidth="17280" windowHeight="8880" xr2:uid="{D9EE2336-3009-48B4-84ED-E5651A528A8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E4" i="1"/>
  <c r="F4" i="1" s="1"/>
  <c r="E5" i="1"/>
  <c r="F5" i="1" s="1"/>
  <c r="E3" i="1"/>
  <c r="F3" i="1" s="1"/>
  <c r="E2" i="1"/>
  <c r="F2" i="1"/>
  <c r="C13" i="1" l="1"/>
</calcChain>
</file>

<file path=xl/sharedStrings.xml><?xml version="1.0" encoding="utf-8"?>
<sst xmlns="http://schemas.openxmlformats.org/spreadsheetml/2006/main" count="5" uniqueCount="5">
  <si>
    <t>Maturité</t>
  </si>
  <si>
    <t>Coupon</t>
  </si>
  <si>
    <t>Prix</t>
  </si>
  <si>
    <t>Taux :</t>
  </si>
  <si>
    <t>DF actuariel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</si>
</sst>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34A9-C8CC-45B1-B84F-53937CD5A056}">
  <dimension ref="A1:F13"/>
  <sheetViews>
    <sheetView tabSelected="1" workbookViewId="0">
      <selection activeCell="E11" sqref="E11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E1" t="s">
        <v>4</v>
      </c>
      <c r="F1" t="s">
        <v>3</v>
      </c>
    </row>
    <row r="2" spans="1:6" x14ac:dyDescent="0.3">
      <c r="A2">
        <v>1</v>
      </c>
      <c r="B2">
        <v>5.5</v>
      </c>
      <c r="C2">
        <v>104.25</v>
      </c>
      <c r="E2">
        <f>C2/(100+B2)</f>
        <v>0.98815165876777256</v>
      </c>
      <c r="F2" s="1">
        <f>(1/E2)^(1/A2) -1</f>
        <v>1.1990407673860837E-2</v>
      </c>
    </row>
    <row r="3" spans="1:6" x14ac:dyDescent="0.3">
      <c r="A3">
        <v>2</v>
      </c>
      <c r="B3">
        <v>3.2</v>
      </c>
      <c r="C3">
        <v>102.73</v>
      </c>
      <c r="E3">
        <f>(C3-B3*SUM($E$2:E2))/(100+B3)</f>
        <v>0.96480537492192953</v>
      </c>
      <c r="F3" s="1">
        <f t="shared" ref="F3:F5" si="0">(1/E3)^(1/A3) -1</f>
        <v>1.8075867111683852E-2</v>
      </c>
    </row>
    <row r="4" spans="1:6" x14ac:dyDescent="0.3">
      <c r="A4">
        <v>3</v>
      </c>
      <c r="B4">
        <v>4.8</v>
      </c>
      <c r="C4">
        <v>107.47</v>
      </c>
      <c r="E4">
        <f>(C4-B4*SUM($E$2:E3))/(100+B4)</f>
        <v>0.93602868547986096</v>
      </c>
      <c r="F4" s="1">
        <f t="shared" si="0"/>
        <v>2.2280979859979899E-2</v>
      </c>
    </row>
    <row r="5" spans="1:6" x14ac:dyDescent="0.3">
      <c r="A5">
        <v>4</v>
      </c>
      <c r="B5">
        <v>6.7</v>
      </c>
      <c r="C5">
        <v>114.16</v>
      </c>
      <c r="E5">
        <f>(C5-B5*SUM($E$2:E4))/(100+B5)</f>
        <v>0.88850792578785309</v>
      </c>
      <c r="F5" s="1">
        <f t="shared" si="0"/>
        <v>2.9993949294881084E-2</v>
      </c>
    </row>
    <row r="8" spans="1:6" x14ac:dyDescent="0.3">
      <c r="A8">
        <v>1</v>
      </c>
      <c r="B8">
        <v>4.8</v>
      </c>
      <c r="C8">
        <f>B8*E2</f>
        <v>4.7431279620853077</v>
      </c>
    </row>
    <row r="9" spans="1:6" x14ac:dyDescent="0.3">
      <c r="A9">
        <v>2</v>
      </c>
      <c r="B9">
        <v>4.8</v>
      </c>
      <c r="C9">
        <f>B9*E3</f>
        <v>4.6310657996252615</v>
      </c>
    </row>
    <row r="10" spans="1:6" x14ac:dyDescent="0.3">
      <c r="A10">
        <v>3</v>
      </c>
      <c r="B10">
        <v>104.8</v>
      </c>
      <c r="C10">
        <f>B10*E4</f>
        <v>98.095806238289427</v>
      </c>
    </row>
    <row r="11" spans="1:6" x14ac:dyDescent="0.3">
      <c r="A11">
        <v>4</v>
      </c>
      <c r="C11">
        <f>B11*E5</f>
        <v>0</v>
      </c>
    </row>
    <row r="13" spans="1:6" x14ac:dyDescent="0.3">
      <c r="C13">
        <f>SUM(C8:C11)</f>
        <v>107.47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</dc:creator>
  <cp:lastModifiedBy>Arnaud</cp:lastModifiedBy>
  <dcterms:created xsi:type="dcterms:W3CDTF">2026-01-30T13:27:27Z</dcterms:created>
  <dcterms:modified xsi:type="dcterms:W3CDTF">2026-01-30T13:39:18Z</dcterms:modified>
</cp:coreProperties>
</file>