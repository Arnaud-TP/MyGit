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\Google Drive\DiFiQ - Cours\N1 - Pricing &amp; Risk Management des Options\2022\"/>
    </mc:Choice>
  </mc:AlternateContent>
  <xr:revisionPtr revIDLastSave="0" documentId="13_ncr:1_{A4B6AA48-9A59-4DB8-A64F-EA2A77E6B1C0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Delta hedge NASDAQ" sheetId="26" r:id="rId1"/>
    <sheet name="Daily P&amp;L" sheetId="27" r:id="rId2"/>
  </sheets>
  <functionGroups builtInGroupCount="19"/>
  <calcPr calcId="162913" calcCompleted="0" calcOnSave="0"/>
</workbook>
</file>

<file path=xl/calcChain.xml><?xml version="1.0" encoding="utf-8"?>
<calcChain xmlns="http://schemas.openxmlformats.org/spreadsheetml/2006/main">
  <c r="K10" i="27" l="1"/>
  <c r="K11" i="27"/>
  <c r="K12" i="27"/>
  <c r="K13" i="27"/>
  <c r="K14" i="27"/>
  <c r="K15" i="27"/>
  <c r="K16" i="27"/>
  <c r="K17" i="27"/>
  <c r="K18" i="27"/>
  <c r="K19" i="27"/>
  <c r="K20" i="27"/>
  <c r="K21" i="27"/>
  <c r="K22" i="27"/>
  <c r="K23" i="27"/>
  <c r="K24" i="27"/>
  <c r="K25" i="27"/>
  <c r="K26" i="27"/>
  <c r="K27" i="27"/>
  <c r="K28" i="27"/>
  <c r="K29" i="27"/>
  <c r="K30" i="27"/>
  <c r="K31" i="27"/>
  <c r="K32" i="27"/>
  <c r="K33" i="27"/>
  <c r="K34" i="27"/>
  <c r="K35" i="27"/>
  <c r="K36" i="27"/>
  <c r="K37" i="27"/>
  <c r="K38" i="27"/>
  <c r="K39" i="27"/>
  <c r="K40" i="27"/>
  <c r="K41" i="27"/>
  <c r="K42" i="27"/>
  <c r="K43" i="27"/>
  <c r="K44" i="27"/>
  <c r="K45" i="27"/>
  <c r="K46" i="27"/>
  <c r="K47" i="27"/>
  <c r="K48" i="27"/>
  <c r="K49" i="27"/>
  <c r="K50" i="27"/>
  <c r="K51" i="27"/>
  <c r="K52" i="27"/>
  <c r="K53" i="27"/>
  <c r="K54" i="27"/>
  <c r="K55" i="27"/>
  <c r="K56" i="27"/>
  <c r="K57" i="27"/>
  <c r="K58" i="27"/>
  <c r="K59" i="27"/>
  <c r="K60" i="27"/>
  <c r="K61" i="27"/>
  <c r="K62" i="27"/>
  <c r="K63" i="27"/>
  <c r="K64" i="27"/>
  <c r="K65" i="27"/>
  <c r="K66" i="27"/>
  <c r="K67" i="27"/>
  <c r="K68" i="27"/>
  <c r="K69" i="27"/>
  <c r="K70" i="27"/>
  <c r="K71" i="27"/>
  <c r="K72" i="27"/>
  <c r="K73" i="27"/>
  <c r="K74" i="27"/>
  <c r="K75" i="27"/>
  <c r="K76" i="27"/>
  <c r="K77" i="27"/>
  <c r="K78" i="27"/>
  <c r="K79" i="27"/>
  <c r="K80" i="27"/>
  <c r="K81" i="27"/>
  <c r="K82" i="27"/>
  <c r="K83" i="27"/>
  <c r="K84" i="27"/>
  <c r="K85" i="27"/>
  <c r="K86" i="27"/>
  <c r="K87" i="27"/>
  <c r="K88" i="27"/>
  <c r="K89" i="27"/>
  <c r="K90" i="27"/>
  <c r="K91" i="27"/>
  <c r="K92" i="27"/>
  <c r="K93" i="27"/>
  <c r="K94" i="27"/>
  <c r="K95" i="27"/>
  <c r="K96" i="27"/>
  <c r="K97" i="27"/>
  <c r="K98" i="27"/>
  <c r="K99" i="27"/>
  <c r="K100" i="27"/>
  <c r="K101" i="27"/>
  <c r="K102" i="27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K118" i="27"/>
  <c r="K119" i="27"/>
  <c r="K120" i="27"/>
  <c r="K121" i="27"/>
  <c r="K122" i="27"/>
  <c r="K123" i="27"/>
  <c r="K124" i="27"/>
  <c r="K125" i="27"/>
  <c r="K126" i="27"/>
  <c r="K127" i="27"/>
  <c r="K128" i="27"/>
  <c r="K129" i="27"/>
  <c r="K130" i="27"/>
  <c r="K131" i="27"/>
  <c r="K132" i="27"/>
  <c r="K133" i="27"/>
  <c r="K134" i="27"/>
  <c r="K135" i="27"/>
  <c r="K136" i="27"/>
  <c r="K137" i="27"/>
  <c r="K9" i="27"/>
  <c r="D137" i="27" l="1"/>
  <c r="H137" i="27" s="1"/>
  <c r="C137" i="27"/>
  <c r="D136" i="27"/>
  <c r="C136" i="27"/>
  <c r="D135" i="27"/>
  <c r="C135" i="27"/>
  <c r="D134" i="27"/>
  <c r="C134" i="27"/>
  <c r="D133" i="27"/>
  <c r="C133" i="27"/>
  <c r="D132" i="27"/>
  <c r="C132" i="27"/>
  <c r="D131" i="27"/>
  <c r="C131" i="27"/>
  <c r="D130" i="27"/>
  <c r="C130" i="27"/>
  <c r="D129" i="27"/>
  <c r="C129" i="27"/>
  <c r="D128" i="27"/>
  <c r="C128" i="27"/>
  <c r="D127" i="27"/>
  <c r="C127" i="27"/>
  <c r="D126" i="27"/>
  <c r="C126" i="27"/>
  <c r="D125" i="27"/>
  <c r="C125" i="27"/>
  <c r="D124" i="27"/>
  <c r="C124" i="27"/>
  <c r="D123" i="27"/>
  <c r="C123" i="27"/>
  <c r="D122" i="27"/>
  <c r="C122" i="27"/>
  <c r="D121" i="27"/>
  <c r="C121" i="27"/>
  <c r="D120" i="27"/>
  <c r="C120" i="27"/>
  <c r="D119" i="27"/>
  <c r="C119" i="27"/>
  <c r="D118" i="27"/>
  <c r="C118" i="27"/>
  <c r="D117" i="27"/>
  <c r="C117" i="27"/>
  <c r="D116" i="27"/>
  <c r="C116" i="27"/>
  <c r="D115" i="27"/>
  <c r="C115" i="27"/>
  <c r="D114" i="27"/>
  <c r="C114" i="27"/>
  <c r="D113" i="27"/>
  <c r="C113" i="27"/>
  <c r="D112" i="27"/>
  <c r="C112" i="27"/>
  <c r="D111" i="27"/>
  <c r="C111" i="27"/>
  <c r="D110" i="27"/>
  <c r="C110" i="27"/>
  <c r="D109" i="27"/>
  <c r="C109" i="27"/>
  <c r="D108" i="27"/>
  <c r="C108" i="27"/>
  <c r="D107" i="27"/>
  <c r="C107" i="27"/>
  <c r="D106" i="27"/>
  <c r="C106" i="27"/>
  <c r="D105" i="27"/>
  <c r="C105" i="27"/>
  <c r="D104" i="27"/>
  <c r="C104" i="27"/>
  <c r="D103" i="27"/>
  <c r="C103" i="27"/>
  <c r="D102" i="27"/>
  <c r="C102" i="27"/>
  <c r="D101" i="27"/>
  <c r="C101" i="27"/>
  <c r="D100" i="27"/>
  <c r="C100" i="27"/>
  <c r="D99" i="27"/>
  <c r="C99" i="27"/>
  <c r="D98" i="27"/>
  <c r="C98" i="27"/>
  <c r="D97" i="27"/>
  <c r="C97" i="27"/>
  <c r="D96" i="27"/>
  <c r="C96" i="27"/>
  <c r="D95" i="27"/>
  <c r="C95" i="27"/>
  <c r="D94" i="27"/>
  <c r="C94" i="27"/>
  <c r="D93" i="27"/>
  <c r="C93" i="27"/>
  <c r="D92" i="27"/>
  <c r="C92" i="27"/>
  <c r="D91" i="27"/>
  <c r="C91" i="27"/>
  <c r="D90" i="27"/>
  <c r="C90" i="27"/>
  <c r="D89" i="27"/>
  <c r="C89" i="27"/>
  <c r="D88" i="27"/>
  <c r="C88" i="27"/>
  <c r="D87" i="27"/>
  <c r="C87" i="27"/>
  <c r="D86" i="27"/>
  <c r="C86" i="27"/>
  <c r="D85" i="27"/>
  <c r="C85" i="27"/>
  <c r="D84" i="27"/>
  <c r="C84" i="27"/>
  <c r="D83" i="27"/>
  <c r="C83" i="27"/>
  <c r="D82" i="27"/>
  <c r="C82" i="27"/>
  <c r="D81" i="27"/>
  <c r="C81" i="27"/>
  <c r="D80" i="27"/>
  <c r="C80" i="27"/>
  <c r="D79" i="27"/>
  <c r="C79" i="27"/>
  <c r="D78" i="27"/>
  <c r="C78" i="27"/>
  <c r="D77" i="27"/>
  <c r="C77" i="27"/>
  <c r="D76" i="27"/>
  <c r="C76" i="27"/>
  <c r="D75" i="27"/>
  <c r="C75" i="27"/>
  <c r="D74" i="27"/>
  <c r="C74" i="27"/>
  <c r="D73" i="27"/>
  <c r="C73" i="27"/>
  <c r="D72" i="27"/>
  <c r="C72" i="27"/>
  <c r="D71" i="27"/>
  <c r="C71" i="27"/>
  <c r="D70" i="27"/>
  <c r="C70" i="27"/>
  <c r="D69" i="27"/>
  <c r="C69" i="27"/>
  <c r="D68" i="27"/>
  <c r="C68" i="27"/>
  <c r="D67" i="27"/>
  <c r="C67" i="27"/>
  <c r="D66" i="27"/>
  <c r="C66" i="27"/>
  <c r="D65" i="27"/>
  <c r="C65" i="27"/>
  <c r="D64" i="27"/>
  <c r="C64" i="27"/>
  <c r="D63" i="27"/>
  <c r="C63" i="27"/>
  <c r="D62" i="27"/>
  <c r="C62" i="27"/>
  <c r="D61" i="27"/>
  <c r="C61" i="27"/>
  <c r="D60" i="27"/>
  <c r="C60" i="27"/>
  <c r="D59" i="27"/>
  <c r="C59" i="27"/>
  <c r="D58" i="27"/>
  <c r="C58" i="27"/>
  <c r="D57" i="27"/>
  <c r="C57" i="27"/>
  <c r="D56" i="27"/>
  <c r="C56" i="27"/>
  <c r="D55" i="27"/>
  <c r="C55" i="27"/>
  <c r="D54" i="27"/>
  <c r="C54" i="27"/>
  <c r="D53" i="27"/>
  <c r="C53" i="27"/>
  <c r="D52" i="27"/>
  <c r="C52" i="27"/>
  <c r="D51" i="27"/>
  <c r="C51" i="27"/>
  <c r="D50" i="27"/>
  <c r="C50" i="27"/>
  <c r="D49" i="27"/>
  <c r="C49" i="27"/>
  <c r="D48" i="27"/>
  <c r="C48" i="27"/>
  <c r="D47" i="27"/>
  <c r="C47" i="27"/>
  <c r="D46" i="27"/>
  <c r="C46" i="27"/>
  <c r="D45" i="27"/>
  <c r="C45" i="27"/>
  <c r="D44" i="27"/>
  <c r="C44" i="27"/>
  <c r="D43" i="27"/>
  <c r="C43" i="27"/>
  <c r="D42" i="27"/>
  <c r="C42" i="27"/>
  <c r="D41" i="27"/>
  <c r="C41" i="27"/>
  <c r="D40" i="27"/>
  <c r="C40" i="27"/>
  <c r="D39" i="27"/>
  <c r="C39" i="27"/>
  <c r="D38" i="27"/>
  <c r="C38" i="27"/>
  <c r="D37" i="27"/>
  <c r="C37" i="27"/>
  <c r="D36" i="27"/>
  <c r="C36" i="27"/>
  <c r="D35" i="27"/>
  <c r="C35" i="27"/>
  <c r="D34" i="27"/>
  <c r="C34" i="27"/>
  <c r="D33" i="27"/>
  <c r="C33" i="27"/>
  <c r="D32" i="27"/>
  <c r="C32" i="27"/>
  <c r="D31" i="27"/>
  <c r="C31" i="27"/>
  <c r="D30" i="27"/>
  <c r="C30" i="27"/>
  <c r="D29" i="27"/>
  <c r="C29" i="27"/>
  <c r="D28" i="27"/>
  <c r="C28" i="27"/>
  <c r="D27" i="27"/>
  <c r="C27" i="27"/>
  <c r="D26" i="27"/>
  <c r="C26" i="27"/>
  <c r="D25" i="27"/>
  <c r="C25" i="27"/>
  <c r="D24" i="27"/>
  <c r="C24" i="27"/>
  <c r="D23" i="27"/>
  <c r="C23" i="27"/>
  <c r="D22" i="27"/>
  <c r="C22" i="27"/>
  <c r="D21" i="27"/>
  <c r="C21" i="27"/>
  <c r="D20" i="27"/>
  <c r="C20" i="27"/>
  <c r="D19" i="27"/>
  <c r="C19" i="27"/>
  <c r="D18" i="27"/>
  <c r="C18" i="27"/>
  <c r="D17" i="27"/>
  <c r="C17" i="27"/>
  <c r="D16" i="27"/>
  <c r="C16" i="27"/>
  <c r="D15" i="27"/>
  <c r="C15" i="27"/>
  <c r="D14" i="27"/>
  <c r="C14" i="27"/>
  <c r="D13" i="27"/>
  <c r="C13" i="27"/>
  <c r="D12" i="27"/>
  <c r="C12" i="27"/>
  <c r="D11" i="27"/>
  <c r="C11" i="27"/>
  <c r="D10" i="27"/>
  <c r="C10" i="27"/>
  <c r="D9" i="27"/>
  <c r="C9" i="27"/>
  <c r="D8" i="27"/>
  <c r="B2" i="27"/>
  <c r="B1" i="27"/>
  <c r="E1" i="27" l="1"/>
  <c r="B3" i="27"/>
  <c r="B4" i="27" s="1"/>
  <c r="BH137" i="26"/>
  <c r="BG137" i="26"/>
  <c r="BA137" i="26"/>
  <c r="AZ137" i="26"/>
  <c r="AT137" i="26"/>
  <c r="AS137" i="26"/>
  <c r="AM137" i="26"/>
  <c r="AL137" i="26"/>
  <c r="AF137" i="26"/>
  <c r="AE137" i="26"/>
  <c r="Y137" i="26"/>
  <c r="X137" i="26"/>
  <c r="R137" i="26"/>
  <c r="Q137" i="26"/>
  <c r="K137" i="26"/>
  <c r="J137" i="26"/>
  <c r="D137" i="26"/>
  <c r="C137" i="26"/>
  <c r="BH136" i="26"/>
  <c r="BG136" i="26"/>
  <c r="BA136" i="26"/>
  <c r="AZ136" i="26"/>
  <c r="AT136" i="26"/>
  <c r="AS136" i="26"/>
  <c r="AM136" i="26"/>
  <c r="AL136" i="26"/>
  <c r="AF136" i="26"/>
  <c r="AE136" i="26"/>
  <c r="Y136" i="26"/>
  <c r="X136" i="26"/>
  <c r="R136" i="26"/>
  <c r="Q136" i="26"/>
  <c r="K136" i="26"/>
  <c r="J136" i="26"/>
  <c r="D136" i="26"/>
  <c r="C136" i="26"/>
  <c r="BH135" i="26"/>
  <c r="BG135" i="26"/>
  <c r="BA135" i="26"/>
  <c r="AZ135" i="26"/>
  <c r="AT135" i="26"/>
  <c r="AS135" i="26"/>
  <c r="AM135" i="26"/>
  <c r="AL135" i="26"/>
  <c r="AF135" i="26"/>
  <c r="AE135" i="26"/>
  <c r="Y135" i="26"/>
  <c r="X135" i="26"/>
  <c r="R135" i="26"/>
  <c r="Q135" i="26"/>
  <c r="K135" i="26"/>
  <c r="J135" i="26"/>
  <c r="D135" i="26"/>
  <c r="C135" i="26"/>
  <c r="BH134" i="26"/>
  <c r="BG134" i="26"/>
  <c r="BA134" i="26"/>
  <c r="AZ134" i="26"/>
  <c r="AT134" i="26"/>
  <c r="AS134" i="26"/>
  <c r="AM134" i="26"/>
  <c r="AL134" i="26"/>
  <c r="AF134" i="26"/>
  <c r="AE134" i="26"/>
  <c r="Y134" i="26"/>
  <c r="X134" i="26"/>
  <c r="R134" i="26"/>
  <c r="Q134" i="26"/>
  <c r="K134" i="26"/>
  <c r="J134" i="26"/>
  <c r="D134" i="26"/>
  <c r="C134" i="26"/>
  <c r="BH133" i="26"/>
  <c r="BG133" i="26"/>
  <c r="BA133" i="26"/>
  <c r="AZ133" i="26"/>
  <c r="AT133" i="26"/>
  <c r="AS133" i="26"/>
  <c r="AM133" i="26"/>
  <c r="AL133" i="26"/>
  <c r="AF133" i="26"/>
  <c r="AE133" i="26"/>
  <c r="Y133" i="26"/>
  <c r="X133" i="26"/>
  <c r="R133" i="26"/>
  <c r="Q133" i="26"/>
  <c r="K133" i="26"/>
  <c r="J133" i="26"/>
  <c r="D133" i="26"/>
  <c r="C133" i="26"/>
  <c r="BH132" i="26"/>
  <c r="BG132" i="26"/>
  <c r="BA132" i="26"/>
  <c r="AZ132" i="26"/>
  <c r="AT132" i="26"/>
  <c r="AS132" i="26"/>
  <c r="AM132" i="26"/>
  <c r="AL132" i="26"/>
  <c r="AF132" i="26"/>
  <c r="AE132" i="26"/>
  <c r="Y132" i="26"/>
  <c r="X132" i="26"/>
  <c r="R132" i="26"/>
  <c r="Q132" i="26"/>
  <c r="K132" i="26"/>
  <c r="J132" i="26"/>
  <c r="D132" i="26"/>
  <c r="C132" i="26"/>
  <c r="BH131" i="26"/>
  <c r="BG131" i="26"/>
  <c r="BA131" i="26"/>
  <c r="AZ131" i="26"/>
  <c r="AT131" i="26"/>
  <c r="AS131" i="26"/>
  <c r="AM131" i="26"/>
  <c r="AL131" i="26"/>
  <c r="AF131" i="26"/>
  <c r="AE131" i="26"/>
  <c r="Y131" i="26"/>
  <c r="X131" i="26"/>
  <c r="R131" i="26"/>
  <c r="Q131" i="26"/>
  <c r="K131" i="26"/>
  <c r="J131" i="26"/>
  <c r="D131" i="26"/>
  <c r="C131" i="26"/>
  <c r="BH130" i="26"/>
  <c r="BG130" i="26"/>
  <c r="BA130" i="26"/>
  <c r="AZ130" i="26"/>
  <c r="AT130" i="26"/>
  <c r="AS130" i="26"/>
  <c r="AM130" i="26"/>
  <c r="AL130" i="26"/>
  <c r="AF130" i="26"/>
  <c r="AE130" i="26"/>
  <c r="Y130" i="26"/>
  <c r="X130" i="26"/>
  <c r="R130" i="26"/>
  <c r="Q130" i="26"/>
  <c r="K130" i="26"/>
  <c r="J130" i="26"/>
  <c r="D130" i="26"/>
  <c r="C130" i="26"/>
  <c r="BH129" i="26"/>
  <c r="BG129" i="26"/>
  <c r="BA129" i="26"/>
  <c r="AZ129" i="26"/>
  <c r="AT129" i="26"/>
  <c r="AS129" i="26"/>
  <c r="AM129" i="26"/>
  <c r="AL129" i="26"/>
  <c r="AF129" i="26"/>
  <c r="AE129" i="26"/>
  <c r="Y129" i="26"/>
  <c r="X129" i="26"/>
  <c r="R129" i="26"/>
  <c r="Q129" i="26"/>
  <c r="K129" i="26"/>
  <c r="J129" i="26"/>
  <c r="D129" i="26"/>
  <c r="C129" i="26"/>
  <c r="BH128" i="26"/>
  <c r="BG128" i="26"/>
  <c r="BA128" i="26"/>
  <c r="AZ128" i="26"/>
  <c r="AT128" i="26"/>
  <c r="AS128" i="26"/>
  <c r="AM128" i="26"/>
  <c r="AL128" i="26"/>
  <c r="AF128" i="26"/>
  <c r="AE128" i="26"/>
  <c r="Y128" i="26"/>
  <c r="X128" i="26"/>
  <c r="R128" i="26"/>
  <c r="Q128" i="26"/>
  <c r="K128" i="26"/>
  <c r="J128" i="26"/>
  <c r="D128" i="26"/>
  <c r="C128" i="26"/>
  <c r="BH127" i="26"/>
  <c r="BG127" i="26"/>
  <c r="BA127" i="26"/>
  <c r="AZ127" i="26"/>
  <c r="AT127" i="26"/>
  <c r="AS127" i="26"/>
  <c r="AM127" i="26"/>
  <c r="AL127" i="26"/>
  <c r="AF127" i="26"/>
  <c r="AE127" i="26"/>
  <c r="Y127" i="26"/>
  <c r="X127" i="26"/>
  <c r="R127" i="26"/>
  <c r="Q127" i="26"/>
  <c r="K127" i="26"/>
  <c r="J127" i="26"/>
  <c r="D127" i="26"/>
  <c r="C127" i="26"/>
  <c r="BH126" i="26"/>
  <c r="BG126" i="26"/>
  <c r="BA126" i="26"/>
  <c r="AZ126" i="26"/>
  <c r="AT126" i="26"/>
  <c r="AS126" i="26"/>
  <c r="AM126" i="26"/>
  <c r="AL126" i="26"/>
  <c r="AF126" i="26"/>
  <c r="AE126" i="26"/>
  <c r="Y126" i="26"/>
  <c r="X126" i="26"/>
  <c r="R126" i="26"/>
  <c r="Q126" i="26"/>
  <c r="K126" i="26"/>
  <c r="J126" i="26"/>
  <c r="D126" i="26"/>
  <c r="C126" i="26"/>
  <c r="BH125" i="26"/>
  <c r="BG125" i="26"/>
  <c r="BA125" i="26"/>
  <c r="AZ125" i="26"/>
  <c r="AT125" i="26"/>
  <c r="AS125" i="26"/>
  <c r="AM125" i="26"/>
  <c r="AL125" i="26"/>
  <c r="AF125" i="26"/>
  <c r="AE125" i="26"/>
  <c r="Y125" i="26"/>
  <c r="X125" i="26"/>
  <c r="R125" i="26"/>
  <c r="Q125" i="26"/>
  <c r="K125" i="26"/>
  <c r="J125" i="26"/>
  <c r="D125" i="26"/>
  <c r="C125" i="26"/>
  <c r="BH124" i="26"/>
  <c r="BG124" i="26"/>
  <c r="BA124" i="26"/>
  <c r="AZ124" i="26"/>
  <c r="AT124" i="26"/>
  <c r="AS124" i="26"/>
  <c r="AM124" i="26"/>
  <c r="AL124" i="26"/>
  <c r="AF124" i="26"/>
  <c r="AE124" i="26"/>
  <c r="Y124" i="26"/>
  <c r="X124" i="26"/>
  <c r="R124" i="26"/>
  <c r="Q124" i="26"/>
  <c r="K124" i="26"/>
  <c r="J124" i="26"/>
  <c r="D124" i="26"/>
  <c r="C124" i="26"/>
  <c r="BH123" i="26"/>
  <c r="BG123" i="26"/>
  <c r="BA123" i="26"/>
  <c r="AZ123" i="26"/>
  <c r="AT123" i="26"/>
  <c r="AS123" i="26"/>
  <c r="AM123" i="26"/>
  <c r="AL123" i="26"/>
  <c r="AF123" i="26"/>
  <c r="AE123" i="26"/>
  <c r="Y123" i="26"/>
  <c r="X123" i="26"/>
  <c r="R123" i="26"/>
  <c r="Q123" i="26"/>
  <c r="K123" i="26"/>
  <c r="J123" i="26"/>
  <c r="D123" i="26"/>
  <c r="C123" i="26"/>
  <c r="BH122" i="26"/>
  <c r="BG122" i="26"/>
  <c r="BA122" i="26"/>
  <c r="AZ122" i="26"/>
  <c r="AT122" i="26"/>
  <c r="AS122" i="26"/>
  <c r="AM122" i="26"/>
  <c r="AL122" i="26"/>
  <c r="AF122" i="26"/>
  <c r="AE122" i="26"/>
  <c r="Y122" i="26"/>
  <c r="X122" i="26"/>
  <c r="R122" i="26"/>
  <c r="Q122" i="26"/>
  <c r="K122" i="26"/>
  <c r="J122" i="26"/>
  <c r="D122" i="26"/>
  <c r="C122" i="26"/>
  <c r="BH121" i="26"/>
  <c r="BG121" i="26"/>
  <c r="BA121" i="26"/>
  <c r="AZ121" i="26"/>
  <c r="AT121" i="26"/>
  <c r="AS121" i="26"/>
  <c r="AM121" i="26"/>
  <c r="AL121" i="26"/>
  <c r="AF121" i="26"/>
  <c r="AE121" i="26"/>
  <c r="Y121" i="26"/>
  <c r="X121" i="26"/>
  <c r="R121" i="26"/>
  <c r="Q121" i="26"/>
  <c r="K121" i="26"/>
  <c r="J121" i="26"/>
  <c r="D121" i="26"/>
  <c r="C121" i="26"/>
  <c r="BH120" i="26"/>
  <c r="BG120" i="26"/>
  <c r="BA120" i="26"/>
  <c r="AZ120" i="26"/>
  <c r="AT120" i="26"/>
  <c r="AS120" i="26"/>
  <c r="AM120" i="26"/>
  <c r="AL120" i="26"/>
  <c r="AF120" i="26"/>
  <c r="AE120" i="26"/>
  <c r="Y120" i="26"/>
  <c r="X120" i="26"/>
  <c r="R120" i="26"/>
  <c r="Q120" i="26"/>
  <c r="K120" i="26"/>
  <c r="J120" i="26"/>
  <c r="D120" i="26"/>
  <c r="C120" i="26"/>
  <c r="BH119" i="26"/>
  <c r="BG119" i="26"/>
  <c r="BA119" i="26"/>
  <c r="AZ119" i="26"/>
  <c r="AT119" i="26"/>
  <c r="AS119" i="26"/>
  <c r="AM119" i="26"/>
  <c r="AL119" i="26"/>
  <c r="AF119" i="26"/>
  <c r="AE119" i="26"/>
  <c r="Y119" i="26"/>
  <c r="X119" i="26"/>
  <c r="R119" i="26"/>
  <c r="Q119" i="26"/>
  <c r="K119" i="26"/>
  <c r="J119" i="26"/>
  <c r="D119" i="26"/>
  <c r="C119" i="26"/>
  <c r="BH118" i="26"/>
  <c r="BG118" i="26"/>
  <c r="BA118" i="26"/>
  <c r="AZ118" i="26"/>
  <c r="AT118" i="26"/>
  <c r="AS118" i="26"/>
  <c r="AM118" i="26"/>
  <c r="AL118" i="26"/>
  <c r="AF118" i="26"/>
  <c r="AE118" i="26"/>
  <c r="Y118" i="26"/>
  <c r="X118" i="26"/>
  <c r="R118" i="26"/>
  <c r="Q118" i="26"/>
  <c r="K118" i="26"/>
  <c r="J118" i="26"/>
  <c r="D118" i="26"/>
  <c r="C118" i="26"/>
  <c r="BH117" i="26"/>
  <c r="BG117" i="26"/>
  <c r="BA117" i="26"/>
  <c r="AZ117" i="26"/>
  <c r="AT117" i="26"/>
  <c r="AS117" i="26"/>
  <c r="AM117" i="26"/>
  <c r="AL117" i="26"/>
  <c r="AF117" i="26"/>
  <c r="AE117" i="26"/>
  <c r="Y117" i="26"/>
  <c r="X117" i="26"/>
  <c r="R117" i="26"/>
  <c r="Q117" i="26"/>
  <c r="K117" i="26"/>
  <c r="J117" i="26"/>
  <c r="D117" i="26"/>
  <c r="C117" i="26"/>
  <c r="BH116" i="26"/>
  <c r="BG116" i="26"/>
  <c r="BA116" i="26"/>
  <c r="AZ116" i="26"/>
  <c r="AT116" i="26"/>
  <c r="AS116" i="26"/>
  <c r="AM116" i="26"/>
  <c r="AL116" i="26"/>
  <c r="AF116" i="26"/>
  <c r="AE116" i="26"/>
  <c r="Y116" i="26"/>
  <c r="X116" i="26"/>
  <c r="R116" i="26"/>
  <c r="Q116" i="26"/>
  <c r="K116" i="26"/>
  <c r="J116" i="26"/>
  <c r="D116" i="26"/>
  <c r="C116" i="26"/>
  <c r="BH115" i="26"/>
  <c r="BG115" i="26"/>
  <c r="BA115" i="26"/>
  <c r="AZ115" i="26"/>
  <c r="AT115" i="26"/>
  <c r="AS115" i="26"/>
  <c r="AM115" i="26"/>
  <c r="AL115" i="26"/>
  <c r="AF115" i="26"/>
  <c r="AE115" i="26"/>
  <c r="Y115" i="26"/>
  <c r="X115" i="26"/>
  <c r="R115" i="26"/>
  <c r="Q115" i="26"/>
  <c r="K115" i="26"/>
  <c r="J115" i="26"/>
  <c r="D115" i="26"/>
  <c r="C115" i="26"/>
  <c r="BH114" i="26"/>
  <c r="BG114" i="26"/>
  <c r="BA114" i="26"/>
  <c r="AZ114" i="26"/>
  <c r="AT114" i="26"/>
  <c r="AS114" i="26"/>
  <c r="AM114" i="26"/>
  <c r="AL114" i="26"/>
  <c r="AF114" i="26"/>
  <c r="AE114" i="26"/>
  <c r="Y114" i="26"/>
  <c r="X114" i="26"/>
  <c r="R114" i="26"/>
  <c r="Q114" i="26"/>
  <c r="K114" i="26"/>
  <c r="J114" i="26"/>
  <c r="D114" i="26"/>
  <c r="C114" i="26"/>
  <c r="BH113" i="26"/>
  <c r="BG113" i="26"/>
  <c r="BA113" i="26"/>
  <c r="AZ113" i="26"/>
  <c r="AT113" i="26"/>
  <c r="AS113" i="26"/>
  <c r="AM113" i="26"/>
  <c r="AL113" i="26"/>
  <c r="AF113" i="26"/>
  <c r="AE113" i="26"/>
  <c r="Y113" i="26"/>
  <c r="X113" i="26"/>
  <c r="R113" i="26"/>
  <c r="Q113" i="26"/>
  <c r="K113" i="26"/>
  <c r="J113" i="26"/>
  <c r="D113" i="26"/>
  <c r="C113" i="26"/>
  <c r="BH112" i="26"/>
  <c r="BG112" i="26"/>
  <c r="BA112" i="26"/>
  <c r="AZ112" i="26"/>
  <c r="AT112" i="26"/>
  <c r="AS112" i="26"/>
  <c r="AM112" i="26"/>
  <c r="AL112" i="26"/>
  <c r="AF112" i="26"/>
  <c r="AE112" i="26"/>
  <c r="Y112" i="26"/>
  <c r="X112" i="26"/>
  <c r="R112" i="26"/>
  <c r="Q112" i="26"/>
  <c r="K112" i="26"/>
  <c r="J112" i="26"/>
  <c r="D112" i="26"/>
  <c r="C112" i="26"/>
  <c r="BH111" i="26"/>
  <c r="BG111" i="26"/>
  <c r="BA111" i="26"/>
  <c r="AZ111" i="26"/>
  <c r="AT111" i="26"/>
  <c r="AS111" i="26"/>
  <c r="AM111" i="26"/>
  <c r="AL111" i="26"/>
  <c r="AF111" i="26"/>
  <c r="AE111" i="26"/>
  <c r="Y111" i="26"/>
  <c r="X111" i="26"/>
  <c r="R111" i="26"/>
  <c r="Q111" i="26"/>
  <c r="K111" i="26"/>
  <c r="J111" i="26"/>
  <c r="D111" i="26"/>
  <c r="C111" i="26"/>
  <c r="BH110" i="26"/>
  <c r="BG110" i="26"/>
  <c r="BA110" i="26"/>
  <c r="AZ110" i="26"/>
  <c r="AT110" i="26"/>
  <c r="AS110" i="26"/>
  <c r="AM110" i="26"/>
  <c r="AL110" i="26"/>
  <c r="AF110" i="26"/>
  <c r="AE110" i="26"/>
  <c r="Y110" i="26"/>
  <c r="X110" i="26"/>
  <c r="R110" i="26"/>
  <c r="Q110" i="26"/>
  <c r="K110" i="26"/>
  <c r="J110" i="26"/>
  <c r="D110" i="26"/>
  <c r="C110" i="26"/>
  <c r="BH109" i="26"/>
  <c r="BG109" i="26"/>
  <c r="BA109" i="26"/>
  <c r="AZ109" i="26"/>
  <c r="AT109" i="26"/>
  <c r="AS109" i="26"/>
  <c r="AM109" i="26"/>
  <c r="AL109" i="26"/>
  <c r="AF109" i="26"/>
  <c r="AE109" i="26"/>
  <c r="Y109" i="26"/>
  <c r="X109" i="26"/>
  <c r="R109" i="26"/>
  <c r="Q109" i="26"/>
  <c r="K109" i="26"/>
  <c r="J109" i="26"/>
  <c r="D109" i="26"/>
  <c r="C109" i="26"/>
  <c r="BH108" i="26"/>
  <c r="BG108" i="26"/>
  <c r="BA108" i="26"/>
  <c r="AZ108" i="26"/>
  <c r="AT108" i="26"/>
  <c r="AS108" i="26"/>
  <c r="AM108" i="26"/>
  <c r="AL108" i="26"/>
  <c r="AF108" i="26"/>
  <c r="AE108" i="26"/>
  <c r="Y108" i="26"/>
  <c r="X108" i="26"/>
  <c r="R108" i="26"/>
  <c r="Q108" i="26"/>
  <c r="K108" i="26"/>
  <c r="J108" i="26"/>
  <c r="D108" i="26"/>
  <c r="C108" i="26"/>
  <c r="BH107" i="26"/>
  <c r="BG107" i="26"/>
  <c r="BA107" i="26"/>
  <c r="AZ107" i="26"/>
  <c r="AT107" i="26"/>
  <c r="AS107" i="26"/>
  <c r="AM107" i="26"/>
  <c r="AL107" i="26"/>
  <c r="AF107" i="26"/>
  <c r="AE107" i="26"/>
  <c r="Y107" i="26"/>
  <c r="X107" i="26"/>
  <c r="R107" i="26"/>
  <c r="Q107" i="26"/>
  <c r="K107" i="26"/>
  <c r="J107" i="26"/>
  <c r="D107" i="26"/>
  <c r="C107" i="26"/>
  <c r="BH106" i="26"/>
  <c r="BG106" i="26"/>
  <c r="BA106" i="26"/>
  <c r="AZ106" i="26"/>
  <c r="AT106" i="26"/>
  <c r="AS106" i="26"/>
  <c r="AM106" i="26"/>
  <c r="AL106" i="26"/>
  <c r="AF106" i="26"/>
  <c r="AE106" i="26"/>
  <c r="Y106" i="26"/>
  <c r="X106" i="26"/>
  <c r="R106" i="26"/>
  <c r="Q106" i="26"/>
  <c r="K106" i="26"/>
  <c r="J106" i="26"/>
  <c r="D106" i="26"/>
  <c r="C106" i="26"/>
  <c r="BH105" i="26"/>
  <c r="BG105" i="26"/>
  <c r="BA105" i="26"/>
  <c r="AZ105" i="26"/>
  <c r="AT105" i="26"/>
  <c r="AS105" i="26"/>
  <c r="AM105" i="26"/>
  <c r="AL105" i="26"/>
  <c r="AF105" i="26"/>
  <c r="AE105" i="26"/>
  <c r="Y105" i="26"/>
  <c r="X105" i="26"/>
  <c r="R105" i="26"/>
  <c r="Q105" i="26"/>
  <c r="K105" i="26"/>
  <c r="J105" i="26"/>
  <c r="D105" i="26"/>
  <c r="C105" i="26"/>
  <c r="BH104" i="26"/>
  <c r="BG104" i="26"/>
  <c r="BA104" i="26"/>
  <c r="AZ104" i="26"/>
  <c r="AT104" i="26"/>
  <c r="AS104" i="26"/>
  <c r="AM104" i="26"/>
  <c r="AL104" i="26"/>
  <c r="AF104" i="26"/>
  <c r="AE104" i="26"/>
  <c r="Y104" i="26"/>
  <c r="X104" i="26"/>
  <c r="R104" i="26"/>
  <c r="Q104" i="26"/>
  <c r="K104" i="26"/>
  <c r="J104" i="26"/>
  <c r="D104" i="26"/>
  <c r="C104" i="26"/>
  <c r="BH103" i="26"/>
  <c r="BG103" i="26"/>
  <c r="BA103" i="26"/>
  <c r="AZ103" i="26"/>
  <c r="AT103" i="26"/>
  <c r="AS103" i="26"/>
  <c r="AM103" i="26"/>
  <c r="AL103" i="26"/>
  <c r="AF103" i="26"/>
  <c r="AE103" i="26"/>
  <c r="Y103" i="26"/>
  <c r="X103" i="26"/>
  <c r="R103" i="26"/>
  <c r="Q103" i="26"/>
  <c r="K103" i="26"/>
  <c r="J103" i="26"/>
  <c r="D103" i="26"/>
  <c r="C103" i="26"/>
  <c r="BH102" i="26"/>
  <c r="BG102" i="26"/>
  <c r="BA102" i="26"/>
  <c r="AZ102" i="26"/>
  <c r="AT102" i="26"/>
  <c r="AS102" i="26"/>
  <c r="AM102" i="26"/>
  <c r="AL102" i="26"/>
  <c r="AF102" i="26"/>
  <c r="AE102" i="26"/>
  <c r="Y102" i="26"/>
  <c r="X102" i="26"/>
  <c r="R102" i="26"/>
  <c r="Q102" i="26"/>
  <c r="K102" i="26"/>
  <c r="J102" i="26"/>
  <c r="D102" i="26"/>
  <c r="C102" i="26"/>
  <c r="BH101" i="26"/>
  <c r="BG101" i="26"/>
  <c r="BA101" i="26"/>
  <c r="AZ101" i="26"/>
  <c r="AT101" i="26"/>
  <c r="AS101" i="26"/>
  <c r="AM101" i="26"/>
  <c r="AL101" i="26"/>
  <c r="AF101" i="26"/>
  <c r="AE101" i="26"/>
  <c r="Y101" i="26"/>
  <c r="X101" i="26"/>
  <c r="R101" i="26"/>
  <c r="Q101" i="26"/>
  <c r="K101" i="26"/>
  <c r="J101" i="26"/>
  <c r="D101" i="26"/>
  <c r="C101" i="26"/>
  <c r="BH100" i="26"/>
  <c r="BG100" i="26"/>
  <c r="BA100" i="26"/>
  <c r="AZ100" i="26"/>
  <c r="AT100" i="26"/>
  <c r="AS100" i="26"/>
  <c r="AM100" i="26"/>
  <c r="AL100" i="26"/>
  <c r="AF100" i="26"/>
  <c r="AE100" i="26"/>
  <c r="Y100" i="26"/>
  <c r="X100" i="26"/>
  <c r="R100" i="26"/>
  <c r="Q100" i="26"/>
  <c r="K100" i="26"/>
  <c r="J100" i="26"/>
  <c r="D100" i="26"/>
  <c r="C100" i="26"/>
  <c r="BH99" i="26"/>
  <c r="BG99" i="26"/>
  <c r="BA99" i="26"/>
  <c r="AZ99" i="26"/>
  <c r="AT99" i="26"/>
  <c r="AS99" i="26"/>
  <c r="AM99" i="26"/>
  <c r="AL99" i="26"/>
  <c r="AF99" i="26"/>
  <c r="AE99" i="26"/>
  <c r="Y99" i="26"/>
  <c r="X99" i="26"/>
  <c r="R99" i="26"/>
  <c r="Q99" i="26"/>
  <c r="K99" i="26"/>
  <c r="J99" i="26"/>
  <c r="D99" i="26"/>
  <c r="C99" i="26"/>
  <c r="BH98" i="26"/>
  <c r="BG98" i="26"/>
  <c r="BA98" i="26"/>
  <c r="AZ98" i="26"/>
  <c r="AT98" i="26"/>
  <c r="AS98" i="26"/>
  <c r="AM98" i="26"/>
  <c r="AL98" i="26"/>
  <c r="AF98" i="26"/>
  <c r="AE98" i="26"/>
  <c r="Y98" i="26"/>
  <c r="X98" i="26"/>
  <c r="R98" i="26"/>
  <c r="Q98" i="26"/>
  <c r="K98" i="26"/>
  <c r="J98" i="26"/>
  <c r="D98" i="26"/>
  <c r="C98" i="26"/>
  <c r="BH97" i="26"/>
  <c r="BG97" i="26"/>
  <c r="BA97" i="26"/>
  <c r="AZ97" i="26"/>
  <c r="AT97" i="26"/>
  <c r="AS97" i="26"/>
  <c r="AM97" i="26"/>
  <c r="AL97" i="26"/>
  <c r="AF97" i="26"/>
  <c r="AE97" i="26"/>
  <c r="Y97" i="26"/>
  <c r="X97" i="26"/>
  <c r="R97" i="26"/>
  <c r="Q97" i="26"/>
  <c r="K97" i="26"/>
  <c r="J97" i="26"/>
  <c r="D97" i="26"/>
  <c r="C97" i="26"/>
  <c r="BH96" i="26"/>
  <c r="BG96" i="26"/>
  <c r="BA96" i="26"/>
  <c r="AZ96" i="26"/>
  <c r="AT96" i="26"/>
  <c r="AS96" i="26"/>
  <c r="AM96" i="26"/>
  <c r="AL96" i="26"/>
  <c r="AF96" i="26"/>
  <c r="AE96" i="26"/>
  <c r="Y96" i="26"/>
  <c r="X96" i="26"/>
  <c r="R96" i="26"/>
  <c r="Q96" i="26"/>
  <c r="K96" i="26"/>
  <c r="J96" i="26"/>
  <c r="D96" i="26"/>
  <c r="C96" i="26"/>
  <c r="BH95" i="26"/>
  <c r="BG95" i="26"/>
  <c r="BA95" i="26"/>
  <c r="AZ95" i="26"/>
  <c r="AT95" i="26"/>
  <c r="AS95" i="26"/>
  <c r="AM95" i="26"/>
  <c r="AL95" i="26"/>
  <c r="AF95" i="26"/>
  <c r="AE95" i="26"/>
  <c r="Y95" i="26"/>
  <c r="X95" i="26"/>
  <c r="R95" i="26"/>
  <c r="Q95" i="26"/>
  <c r="K95" i="26"/>
  <c r="J95" i="26"/>
  <c r="D95" i="26"/>
  <c r="C95" i="26"/>
  <c r="BH94" i="26"/>
  <c r="BG94" i="26"/>
  <c r="BA94" i="26"/>
  <c r="AZ94" i="26"/>
  <c r="AT94" i="26"/>
  <c r="AS94" i="26"/>
  <c r="AM94" i="26"/>
  <c r="AL94" i="26"/>
  <c r="AF94" i="26"/>
  <c r="AE94" i="26"/>
  <c r="Y94" i="26"/>
  <c r="X94" i="26"/>
  <c r="R94" i="26"/>
  <c r="Q94" i="26"/>
  <c r="K94" i="26"/>
  <c r="J94" i="26"/>
  <c r="D94" i="26"/>
  <c r="C94" i="26"/>
  <c r="BH93" i="26"/>
  <c r="BG93" i="26"/>
  <c r="BA93" i="26"/>
  <c r="AZ93" i="26"/>
  <c r="AT93" i="26"/>
  <c r="AS93" i="26"/>
  <c r="AM93" i="26"/>
  <c r="AL93" i="26"/>
  <c r="AF93" i="26"/>
  <c r="AE93" i="26"/>
  <c r="Y93" i="26"/>
  <c r="X93" i="26"/>
  <c r="R93" i="26"/>
  <c r="Q93" i="26"/>
  <c r="K93" i="26"/>
  <c r="J93" i="26"/>
  <c r="D93" i="26"/>
  <c r="C93" i="26"/>
  <c r="BH92" i="26"/>
  <c r="BG92" i="26"/>
  <c r="BA92" i="26"/>
  <c r="AZ92" i="26"/>
  <c r="AT92" i="26"/>
  <c r="AS92" i="26"/>
  <c r="AM92" i="26"/>
  <c r="AL92" i="26"/>
  <c r="AF92" i="26"/>
  <c r="AE92" i="26"/>
  <c r="Y92" i="26"/>
  <c r="X92" i="26"/>
  <c r="R92" i="26"/>
  <c r="Q92" i="26"/>
  <c r="K92" i="26"/>
  <c r="J92" i="26"/>
  <c r="D92" i="26"/>
  <c r="C92" i="26"/>
  <c r="BH91" i="26"/>
  <c r="BG91" i="26"/>
  <c r="BA91" i="26"/>
  <c r="AZ91" i="26"/>
  <c r="AT91" i="26"/>
  <c r="AS91" i="26"/>
  <c r="AM91" i="26"/>
  <c r="AL91" i="26"/>
  <c r="AF91" i="26"/>
  <c r="AE91" i="26"/>
  <c r="Y91" i="26"/>
  <c r="X91" i="26"/>
  <c r="R91" i="26"/>
  <c r="Q91" i="26"/>
  <c r="K91" i="26"/>
  <c r="J91" i="26"/>
  <c r="D91" i="26"/>
  <c r="C91" i="26"/>
  <c r="BH90" i="26"/>
  <c r="BG90" i="26"/>
  <c r="BA90" i="26"/>
  <c r="AZ90" i="26"/>
  <c r="AT90" i="26"/>
  <c r="AS90" i="26"/>
  <c r="AM90" i="26"/>
  <c r="AL90" i="26"/>
  <c r="AF90" i="26"/>
  <c r="AE90" i="26"/>
  <c r="Y90" i="26"/>
  <c r="X90" i="26"/>
  <c r="R90" i="26"/>
  <c r="Q90" i="26"/>
  <c r="K90" i="26"/>
  <c r="J90" i="26"/>
  <c r="D90" i="26"/>
  <c r="C90" i="26"/>
  <c r="BH89" i="26"/>
  <c r="BG89" i="26"/>
  <c r="BA89" i="26"/>
  <c r="AZ89" i="26"/>
  <c r="AT89" i="26"/>
  <c r="AS89" i="26"/>
  <c r="AM89" i="26"/>
  <c r="AL89" i="26"/>
  <c r="AF89" i="26"/>
  <c r="AE89" i="26"/>
  <c r="Y89" i="26"/>
  <c r="X89" i="26"/>
  <c r="R89" i="26"/>
  <c r="Q89" i="26"/>
  <c r="K89" i="26"/>
  <c r="J89" i="26"/>
  <c r="D89" i="26"/>
  <c r="C89" i="26"/>
  <c r="BH88" i="26"/>
  <c r="BG88" i="26"/>
  <c r="BA88" i="26"/>
  <c r="AZ88" i="26"/>
  <c r="AT88" i="26"/>
  <c r="AS88" i="26"/>
  <c r="AM88" i="26"/>
  <c r="AL88" i="26"/>
  <c r="AF88" i="26"/>
  <c r="AE88" i="26"/>
  <c r="Y88" i="26"/>
  <c r="X88" i="26"/>
  <c r="R88" i="26"/>
  <c r="Q88" i="26"/>
  <c r="K88" i="26"/>
  <c r="J88" i="26"/>
  <c r="D88" i="26"/>
  <c r="C88" i="26"/>
  <c r="BH87" i="26"/>
  <c r="BG87" i="26"/>
  <c r="BA87" i="26"/>
  <c r="AZ87" i="26"/>
  <c r="AT87" i="26"/>
  <c r="AS87" i="26"/>
  <c r="AM87" i="26"/>
  <c r="AL87" i="26"/>
  <c r="AF87" i="26"/>
  <c r="AE87" i="26"/>
  <c r="Y87" i="26"/>
  <c r="X87" i="26"/>
  <c r="R87" i="26"/>
  <c r="Q87" i="26"/>
  <c r="K87" i="26"/>
  <c r="J87" i="26"/>
  <c r="D87" i="26"/>
  <c r="C87" i="26"/>
  <c r="BH86" i="26"/>
  <c r="BG86" i="26"/>
  <c r="BA86" i="26"/>
  <c r="AZ86" i="26"/>
  <c r="AT86" i="26"/>
  <c r="AS86" i="26"/>
  <c r="AM86" i="26"/>
  <c r="AL86" i="26"/>
  <c r="AF86" i="26"/>
  <c r="AE86" i="26"/>
  <c r="Y86" i="26"/>
  <c r="X86" i="26"/>
  <c r="R86" i="26"/>
  <c r="Q86" i="26"/>
  <c r="K86" i="26"/>
  <c r="J86" i="26"/>
  <c r="D86" i="26"/>
  <c r="C86" i="26"/>
  <c r="BH85" i="26"/>
  <c r="BG85" i="26"/>
  <c r="BA85" i="26"/>
  <c r="AZ85" i="26"/>
  <c r="AT85" i="26"/>
  <c r="AS85" i="26"/>
  <c r="AM85" i="26"/>
  <c r="AL85" i="26"/>
  <c r="AF85" i="26"/>
  <c r="AE85" i="26"/>
  <c r="Y85" i="26"/>
  <c r="X85" i="26"/>
  <c r="R85" i="26"/>
  <c r="Q85" i="26"/>
  <c r="K85" i="26"/>
  <c r="J85" i="26"/>
  <c r="D85" i="26"/>
  <c r="C85" i="26"/>
  <c r="BH84" i="26"/>
  <c r="BG84" i="26"/>
  <c r="BA84" i="26"/>
  <c r="AZ84" i="26"/>
  <c r="AT84" i="26"/>
  <c r="AS84" i="26"/>
  <c r="AM84" i="26"/>
  <c r="AL84" i="26"/>
  <c r="AF84" i="26"/>
  <c r="AE84" i="26"/>
  <c r="Y84" i="26"/>
  <c r="X84" i="26"/>
  <c r="R84" i="26"/>
  <c r="Q84" i="26"/>
  <c r="K84" i="26"/>
  <c r="J84" i="26"/>
  <c r="D84" i="26"/>
  <c r="C84" i="26"/>
  <c r="BH83" i="26"/>
  <c r="BG83" i="26"/>
  <c r="BA83" i="26"/>
  <c r="AZ83" i="26"/>
  <c r="AT83" i="26"/>
  <c r="AS83" i="26"/>
  <c r="AM83" i="26"/>
  <c r="AL83" i="26"/>
  <c r="AF83" i="26"/>
  <c r="AE83" i="26"/>
  <c r="Y83" i="26"/>
  <c r="X83" i="26"/>
  <c r="R83" i="26"/>
  <c r="Q83" i="26"/>
  <c r="K83" i="26"/>
  <c r="J83" i="26"/>
  <c r="D83" i="26"/>
  <c r="C83" i="26"/>
  <c r="BH82" i="26"/>
  <c r="BG82" i="26"/>
  <c r="BA82" i="26"/>
  <c r="AZ82" i="26"/>
  <c r="AT82" i="26"/>
  <c r="AS82" i="26"/>
  <c r="AM82" i="26"/>
  <c r="AL82" i="26"/>
  <c r="AF82" i="26"/>
  <c r="AE82" i="26"/>
  <c r="Y82" i="26"/>
  <c r="X82" i="26"/>
  <c r="R82" i="26"/>
  <c r="Q82" i="26"/>
  <c r="K82" i="26"/>
  <c r="J82" i="26"/>
  <c r="D82" i="26"/>
  <c r="C82" i="26"/>
  <c r="BH81" i="26"/>
  <c r="BG81" i="26"/>
  <c r="BA81" i="26"/>
  <c r="AZ81" i="26"/>
  <c r="AT81" i="26"/>
  <c r="AS81" i="26"/>
  <c r="AM81" i="26"/>
  <c r="AL81" i="26"/>
  <c r="AF81" i="26"/>
  <c r="AE81" i="26"/>
  <c r="Y81" i="26"/>
  <c r="X81" i="26"/>
  <c r="R81" i="26"/>
  <c r="Q81" i="26"/>
  <c r="K81" i="26"/>
  <c r="J81" i="26"/>
  <c r="D81" i="26"/>
  <c r="C81" i="26"/>
  <c r="BH80" i="26"/>
  <c r="BG80" i="26"/>
  <c r="BA80" i="26"/>
  <c r="AZ80" i="26"/>
  <c r="AT80" i="26"/>
  <c r="AS80" i="26"/>
  <c r="AM80" i="26"/>
  <c r="AL80" i="26"/>
  <c r="AF80" i="26"/>
  <c r="AE80" i="26"/>
  <c r="Y80" i="26"/>
  <c r="X80" i="26"/>
  <c r="R80" i="26"/>
  <c r="Q80" i="26"/>
  <c r="K80" i="26"/>
  <c r="J80" i="26"/>
  <c r="D80" i="26"/>
  <c r="C80" i="26"/>
  <c r="BH79" i="26"/>
  <c r="BG79" i="26"/>
  <c r="BA79" i="26"/>
  <c r="AZ79" i="26"/>
  <c r="AT79" i="26"/>
  <c r="AS79" i="26"/>
  <c r="AM79" i="26"/>
  <c r="AL79" i="26"/>
  <c r="AF79" i="26"/>
  <c r="AE79" i="26"/>
  <c r="Y79" i="26"/>
  <c r="X79" i="26"/>
  <c r="R79" i="26"/>
  <c r="Q79" i="26"/>
  <c r="K79" i="26"/>
  <c r="J79" i="26"/>
  <c r="D79" i="26"/>
  <c r="C79" i="26"/>
  <c r="BH78" i="26"/>
  <c r="BG78" i="26"/>
  <c r="BA78" i="26"/>
  <c r="AZ78" i="26"/>
  <c r="AT78" i="26"/>
  <c r="AS78" i="26"/>
  <c r="AM78" i="26"/>
  <c r="AL78" i="26"/>
  <c r="AF78" i="26"/>
  <c r="AE78" i="26"/>
  <c r="Y78" i="26"/>
  <c r="X78" i="26"/>
  <c r="R78" i="26"/>
  <c r="Q78" i="26"/>
  <c r="K78" i="26"/>
  <c r="J78" i="26"/>
  <c r="D78" i="26"/>
  <c r="C78" i="26"/>
  <c r="BH77" i="26"/>
  <c r="BG77" i="26"/>
  <c r="BA77" i="26"/>
  <c r="AZ77" i="26"/>
  <c r="AT77" i="26"/>
  <c r="AS77" i="26"/>
  <c r="AM77" i="26"/>
  <c r="AL77" i="26"/>
  <c r="AF77" i="26"/>
  <c r="AE77" i="26"/>
  <c r="Y77" i="26"/>
  <c r="X77" i="26"/>
  <c r="R77" i="26"/>
  <c r="Q77" i="26"/>
  <c r="K77" i="26"/>
  <c r="J77" i="26"/>
  <c r="D77" i="26"/>
  <c r="C77" i="26"/>
  <c r="BH76" i="26"/>
  <c r="BG76" i="26"/>
  <c r="BA76" i="26"/>
  <c r="AZ76" i="26"/>
  <c r="AT76" i="26"/>
  <c r="AS76" i="26"/>
  <c r="AM76" i="26"/>
  <c r="AL76" i="26"/>
  <c r="AF76" i="26"/>
  <c r="AE76" i="26"/>
  <c r="Y76" i="26"/>
  <c r="X76" i="26"/>
  <c r="R76" i="26"/>
  <c r="Q76" i="26"/>
  <c r="K76" i="26"/>
  <c r="J76" i="26"/>
  <c r="D76" i="26"/>
  <c r="C76" i="26"/>
  <c r="BH75" i="26"/>
  <c r="BG75" i="26"/>
  <c r="BA75" i="26"/>
  <c r="AZ75" i="26"/>
  <c r="AT75" i="26"/>
  <c r="AS75" i="26"/>
  <c r="AM75" i="26"/>
  <c r="AL75" i="26"/>
  <c r="AF75" i="26"/>
  <c r="AE75" i="26"/>
  <c r="Y75" i="26"/>
  <c r="X75" i="26"/>
  <c r="R75" i="26"/>
  <c r="Q75" i="26"/>
  <c r="K75" i="26"/>
  <c r="J75" i="26"/>
  <c r="D75" i="26"/>
  <c r="C75" i="26"/>
  <c r="BH74" i="26"/>
  <c r="BG74" i="26"/>
  <c r="BA74" i="26"/>
  <c r="AZ74" i="26"/>
  <c r="AT74" i="26"/>
  <c r="AS74" i="26"/>
  <c r="AM74" i="26"/>
  <c r="AL74" i="26"/>
  <c r="AF74" i="26"/>
  <c r="AE74" i="26"/>
  <c r="Y74" i="26"/>
  <c r="X74" i="26"/>
  <c r="R74" i="26"/>
  <c r="Q74" i="26"/>
  <c r="K74" i="26"/>
  <c r="J74" i="26"/>
  <c r="D74" i="26"/>
  <c r="C74" i="26"/>
  <c r="BH73" i="26"/>
  <c r="BG73" i="26"/>
  <c r="BA73" i="26"/>
  <c r="AZ73" i="26"/>
  <c r="AT73" i="26"/>
  <c r="AS73" i="26"/>
  <c r="AM73" i="26"/>
  <c r="AL73" i="26"/>
  <c r="AF73" i="26"/>
  <c r="AE73" i="26"/>
  <c r="Y73" i="26"/>
  <c r="X73" i="26"/>
  <c r="R73" i="26"/>
  <c r="Q73" i="26"/>
  <c r="K73" i="26"/>
  <c r="J73" i="26"/>
  <c r="D73" i="26"/>
  <c r="C73" i="26"/>
  <c r="BH72" i="26"/>
  <c r="BG72" i="26"/>
  <c r="BA72" i="26"/>
  <c r="AZ72" i="26"/>
  <c r="AT72" i="26"/>
  <c r="AS72" i="26"/>
  <c r="AM72" i="26"/>
  <c r="AL72" i="26"/>
  <c r="AF72" i="26"/>
  <c r="AE72" i="26"/>
  <c r="Y72" i="26"/>
  <c r="X72" i="26"/>
  <c r="R72" i="26"/>
  <c r="Q72" i="26"/>
  <c r="K72" i="26"/>
  <c r="J72" i="26"/>
  <c r="D72" i="26"/>
  <c r="C72" i="26"/>
  <c r="BH71" i="26"/>
  <c r="BG71" i="26"/>
  <c r="BA71" i="26"/>
  <c r="AZ71" i="26"/>
  <c r="AT71" i="26"/>
  <c r="AS71" i="26"/>
  <c r="AM71" i="26"/>
  <c r="AL71" i="26"/>
  <c r="AF71" i="26"/>
  <c r="AE71" i="26"/>
  <c r="Y71" i="26"/>
  <c r="X71" i="26"/>
  <c r="R71" i="26"/>
  <c r="Q71" i="26"/>
  <c r="K71" i="26"/>
  <c r="J71" i="26"/>
  <c r="D71" i="26"/>
  <c r="C71" i="26"/>
  <c r="BH70" i="26"/>
  <c r="BG70" i="26"/>
  <c r="BA70" i="26"/>
  <c r="AZ70" i="26"/>
  <c r="AT70" i="26"/>
  <c r="AS70" i="26"/>
  <c r="AM70" i="26"/>
  <c r="AL70" i="26"/>
  <c r="AF70" i="26"/>
  <c r="AE70" i="26"/>
  <c r="Y70" i="26"/>
  <c r="X70" i="26"/>
  <c r="R70" i="26"/>
  <c r="Q70" i="26"/>
  <c r="K70" i="26"/>
  <c r="J70" i="26"/>
  <c r="D70" i="26"/>
  <c r="C70" i="26"/>
  <c r="BH69" i="26"/>
  <c r="BG69" i="26"/>
  <c r="BA69" i="26"/>
  <c r="AZ69" i="26"/>
  <c r="AT69" i="26"/>
  <c r="AS69" i="26"/>
  <c r="AM69" i="26"/>
  <c r="AL69" i="26"/>
  <c r="AF69" i="26"/>
  <c r="AE69" i="26"/>
  <c r="Y69" i="26"/>
  <c r="X69" i="26"/>
  <c r="R69" i="26"/>
  <c r="Q69" i="26"/>
  <c r="K69" i="26"/>
  <c r="J69" i="26"/>
  <c r="D69" i="26"/>
  <c r="C69" i="26"/>
  <c r="BH68" i="26"/>
  <c r="BG68" i="26"/>
  <c r="BA68" i="26"/>
  <c r="AZ68" i="26"/>
  <c r="AT68" i="26"/>
  <c r="AS68" i="26"/>
  <c r="AM68" i="26"/>
  <c r="AL68" i="26"/>
  <c r="AF68" i="26"/>
  <c r="AE68" i="26"/>
  <c r="Y68" i="26"/>
  <c r="X68" i="26"/>
  <c r="R68" i="26"/>
  <c r="Q68" i="26"/>
  <c r="K68" i="26"/>
  <c r="J68" i="26"/>
  <c r="D68" i="26"/>
  <c r="C68" i="26"/>
  <c r="BH67" i="26"/>
  <c r="BG67" i="26"/>
  <c r="BA67" i="26"/>
  <c r="AZ67" i="26"/>
  <c r="AT67" i="26"/>
  <c r="AS67" i="26"/>
  <c r="AM67" i="26"/>
  <c r="AL67" i="26"/>
  <c r="AF67" i="26"/>
  <c r="AE67" i="26"/>
  <c r="Y67" i="26"/>
  <c r="X67" i="26"/>
  <c r="R67" i="26"/>
  <c r="Q67" i="26"/>
  <c r="K67" i="26"/>
  <c r="J67" i="26"/>
  <c r="D67" i="26"/>
  <c r="C67" i="26"/>
  <c r="BH66" i="26"/>
  <c r="BG66" i="26"/>
  <c r="BA66" i="26"/>
  <c r="AZ66" i="26"/>
  <c r="AT66" i="26"/>
  <c r="AS66" i="26"/>
  <c r="AM66" i="26"/>
  <c r="AL66" i="26"/>
  <c r="AF66" i="26"/>
  <c r="AE66" i="26"/>
  <c r="Y66" i="26"/>
  <c r="X66" i="26"/>
  <c r="R66" i="26"/>
  <c r="Q66" i="26"/>
  <c r="K66" i="26"/>
  <c r="J66" i="26"/>
  <c r="D66" i="26"/>
  <c r="C66" i="26"/>
  <c r="BH65" i="26"/>
  <c r="BG65" i="26"/>
  <c r="BA65" i="26"/>
  <c r="AZ65" i="26"/>
  <c r="AT65" i="26"/>
  <c r="AS65" i="26"/>
  <c r="AM65" i="26"/>
  <c r="AL65" i="26"/>
  <c r="AF65" i="26"/>
  <c r="AE65" i="26"/>
  <c r="Y65" i="26"/>
  <c r="X65" i="26"/>
  <c r="R65" i="26"/>
  <c r="Q65" i="26"/>
  <c r="K65" i="26"/>
  <c r="J65" i="26"/>
  <c r="D65" i="26"/>
  <c r="C65" i="26"/>
  <c r="BH64" i="26"/>
  <c r="BG64" i="26"/>
  <c r="BA64" i="26"/>
  <c r="AZ64" i="26"/>
  <c r="AT64" i="26"/>
  <c r="AS64" i="26"/>
  <c r="AM64" i="26"/>
  <c r="AL64" i="26"/>
  <c r="AF64" i="26"/>
  <c r="AE64" i="26"/>
  <c r="Y64" i="26"/>
  <c r="X64" i="26"/>
  <c r="R64" i="26"/>
  <c r="Q64" i="26"/>
  <c r="K64" i="26"/>
  <c r="J64" i="26"/>
  <c r="D64" i="26"/>
  <c r="C64" i="26"/>
  <c r="BH63" i="26"/>
  <c r="BG63" i="26"/>
  <c r="BA63" i="26"/>
  <c r="AZ63" i="26"/>
  <c r="AT63" i="26"/>
  <c r="AS63" i="26"/>
  <c r="AM63" i="26"/>
  <c r="AL63" i="26"/>
  <c r="AF63" i="26"/>
  <c r="AE63" i="26"/>
  <c r="Y63" i="26"/>
  <c r="X63" i="26"/>
  <c r="R63" i="26"/>
  <c r="Q63" i="26"/>
  <c r="K63" i="26"/>
  <c r="J63" i="26"/>
  <c r="D63" i="26"/>
  <c r="C63" i="26"/>
  <c r="BH62" i="26"/>
  <c r="BG62" i="26"/>
  <c r="BA62" i="26"/>
  <c r="AZ62" i="26"/>
  <c r="AT62" i="26"/>
  <c r="AS62" i="26"/>
  <c r="AM62" i="26"/>
  <c r="AL62" i="26"/>
  <c r="AF62" i="26"/>
  <c r="AE62" i="26"/>
  <c r="Y62" i="26"/>
  <c r="X62" i="26"/>
  <c r="R62" i="26"/>
  <c r="Q62" i="26"/>
  <c r="K62" i="26"/>
  <c r="J62" i="26"/>
  <c r="D62" i="26"/>
  <c r="C62" i="26"/>
  <c r="BH61" i="26"/>
  <c r="BG61" i="26"/>
  <c r="BA61" i="26"/>
  <c r="AZ61" i="26"/>
  <c r="AT61" i="26"/>
  <c r="AS61" i="26"/>
  <c r="AM61" i="26"/>
  <c r="AL61" i="26"/>
  <c r="AF61" i="26"/>
  <c r="AE61" i="26"/>
  <c r="Y61" i="26"/>
  <c r="X61" i="26"/>
  <c r="R61" i="26"/>
  <c r="Q61" i="26"/>
  <c r="K61" i="26"/>
  <c r="J61" i="26"/>
  <c r="D61" i="26"/>
  <c r="C61" i="26"/>
  <c r="BH60" i="26"/>
  <c r="BG60" i="26"/>
  <c r="BA60" i="26"/>
  <c r="AZ60" i="26"/>
  <c r="AT60" i="26"/>
  <c r="AS60" i="26"/>
  <c r="AM60" i="26"/>
  <c r="AL60" i="26"/>
  <c r="AF60" i="26"/>
  <c r="AE60" i="26"/>
  <c r="Y60" i="26"/>
  <c r="X60" i="26"/>
  <c r="R60" i="26"/>
  <c r="Q60" i="26"/>
  <c r="K60" i="26"/>
  <c r="J60" i="26"/>
  <c r="D60" i="26"/>
  <c r="C60" i="26"/>
  <c r="BH59" i="26"/>
  <c r="BG59" i="26"/>
  <c r="BA59" i="26"/>
  <c r="AZ59" i="26"/>
  <c r="AT59" i="26"/>
  <c r="AS59" i="26"/>
  <c r="AM59" i="26"/>
  <c r="AL59" i="26"/>
  <c r="AF59" i="26"/>
  <c r="AE59" i="26"/>
  <c r="Y59" i="26"/>
  <c r="X59" i="26"/>
  <c r="R59" i="26"/>
  <c r="Q59" i="26"/>
  <c r="K59" i="26"/>
  <c r="J59" i="26"/>
  <c r="D59" i="26"/>
  <c r="C59" i="26"/>
  <c r="BH58" i="26"/>
  <c r="BG58" i="26"/>
  <c r="BA58" i="26"/>
  <c r="AZ58" i="26"/>
  <c r="AT58" i="26"/>
  <c r="AS58" i="26"/>
  <c r="AM58" i="26"/>
  <c r="AL58" i="26"/>
  <c r="AF58" i="26"/>
  <c r="AE58" i="26"/>
  <c r="Y58" i="26"/>
  <c r="X58" i="26"/>
  <c r="R58" i="26"/>
  <c r="Q58" i="26"/>
  <c r="K58" i="26"/>
  <c r="J58" i="26"/>
  <c r="D58" i="26"/>
  <c r="C58" i="26"/>
  <c r="BH57" i="26"/>
  <c r="BG57" i="26"/>
  <c r="BA57" i="26"/>
  <c r="AZ57" i="26"/>
  <c r="AT57" i="26"/>
  <c r="AS57" i="26"/>
  <c r="AM57" i="26"/>
  <c r="AL57" i="26"/>
  <c r="AF57" i="26"/>
  <c r="AE57" i="26"/>
  <c r="Y57" i="26"/>
  <c r="X57" i="26"/>
  <c r="R57" i="26"/>
  <c r="Q57" i="26"/>
  <c r="K57" i="26"/>
  <c r="J57" i="26"/>
  <c r="D57" i="26"/>
  <c r="C57" i="26"/>
  <c r="BH56" i="26"/>
  <c r="BG56" i="26"/>
  <c r="BA56" i="26"/>
  <c r="AZ56" i="26"/>
  <c r="AT56" i="26"/>
  <c r="AS56" i="26"/>
  <c r="AM56" i="26"/>
  <c r="AL56" i="26"/>
  <c r="AF56" i="26"/>
  <c r="AE56" i="26"/>
  <c r="Y56" i="26"/>
  <c r="X56" i="26"/>
  <c r="R56" i="26"/>
  <c r="Q56" i="26"/>
  <c r="K56" i="26"/>
  <c r="J56" i="26"/>
  <c r="D56" i="26"/>
  <c r="C56" i="26"/>
  <c r="BH55" i="26"/>
  <c r="BG55" i="26"/>
  <c r="BA55" i="26"/>
  <c r="AZ55" i="26"/>
  <c r="AT55" i="26"/>
  <c r="AS55" i="26"/>
  <c r="AM55" i="26"/>
  <c r="AL55" i="26"/>
  <c r="AF55" i="26"/>
  <c r="AE55" i="26"/>
  <c r="Y55" i="26"/>
  <c r="X55" i="26"/>
  <c r="R55" i="26"/>
  <c r="Q55" i="26"/>
  <c r="K55" i="26"/>
  <c r="J55" i="26"/>
  <c r="D55" i="26"/>
  <c r="C55" i="26"/>
  <c r="BH54" i="26"/>
  <c r="BG54" i="26"/>
  <c r="BA54" i="26"/>
  <c r="AZ54" i="26"/>
  <c r="AT54" i="26"/>
  <c r="AS54" i="26"/>
  <c r="AM54" i="26"/>
  <c r="AL54" i="26"/>
  <c r="AF54" i="26"/>
  <c r="AE54" i="26"/>
  <c r="Y54" i="26"/>
  <c r="X54" i="26"/>
  <c r="R54" i="26"/>
  <c r="Q54" i="26"/>
  <c r="K54" i="26"/>
  <c r="J54" i="26"/>
  <c r="D54" i="26"/>
  <c r="C54" i="26"/>
  <c r="BH53" i="26"/>
  <c r="BG53" i="26"/>
  <c r="BA53" i="26"/>
  <c r="AZ53" i="26"/>
  <c r="AT53" i="26"/>
  <c r="AS53" i="26"/>
  <c r="AM53" i="26"/>
  <c r="AL53" i="26"/>
  <c r="AF53" i="26"/>
  <c r="AE53" i="26"/>
  <c r="Y53" i="26"/>
  <c r="X53" i="26"/>
  <c r="R53" i="26"/>
  <c r="Q53" i="26"/>
  <c r="K53" i="26"/>
  <c r="J53" i="26"/>
  <c r="D53" i="26"/>
  <c r="C53" i="26"/>
  <c r="BH52" i="26"/>
  <c r="BG52" i="26"/>
  <c r="BA52" i="26"/>
  <c r="AZ52" i="26"/>
  <c r="AT52" i="26"/>
  <c r="AS52" i="26"/>
  <c r="AM52" i="26"/>
  <c r="AL52" i="26"/>
  <c r="AF52" i="26"/>
  <c r="AE52" i="26"/>
  <c r="Y52" i="26"/>
  <c r="X52" i="26"/>
  <c r="R52" i="26"/>
  <c r="Q52" i="26"/>
  <c r="K52" i="26"/>
  <c r="J52" i="26"/>
  <c r="D52" i="26"/>
  <c r="C52" i="26"/>
  <c r="BH51" i="26"/>
  <c r="BG51" i="26"/>
  <c r="BA51" i="26"/>
  <c r="AZ51" i="26"/>
  <c r="AT51" i="26"/>
  <c r="AS51" i="26"/>
  <c r="AM51" i="26"/>
  <c r="AL51" i="26"/>
  <c r="AF51" i="26"/>
  <c r="AE51" i="26"/>
  <c r="Y51" i="26"/>
  <c r="X51" i="26"/>
  <c r="R51" i="26"/>
  <c r="Q51" i="26"/>
  <c r="K51" i="26"/>
  <c r="J51" i="26"/>
  <c r="D51" i="26"/>
  <c r="C51" i="26"/>
  <c r="BH50" i="26"/>
  <c r="BG50" i="26"/>
  <c r="BA50" i="26"/>
  <c r="AZ50" i="26"/>
  <c r="AT50" i="26"/>
  <c r="AS50" i="26"/>
  <c r="AM50" i="26"/>
  <c r="AL50" i="26"/>
  <c r="AF50" i="26"/>
  <c r="AE50" i="26"/>
  <c r="Y50" i="26"/>
  <c r="X50" i="26"/>
  <c r="R50" i="26"/>
  <c r="Q50" i="26"/>
  <c r="K50" i="26"/>
  <c r="J50" i="26"/>
  <c r="D50" i="26"/>
  <c r="C50" i="26"/>
  <c r="BH49" i="26"/>
  <c r="BG49" i="26"/>
  <c r="BA49" i="26"/>
  <c r="AZ49" i="26"/>
  <c r="AT49" i="26"/>
  <c r="AS49" i="26"/>
  <c r="AM49" i="26"/>
  <c r="AL49" i="26"/>
  <c r="AF49" i="26"/>
  <c r="AE49" i="26"/>
  <c r="Y49" i="26"/>
  <c r="X49" i="26"/>
  <c r="R49" i="26"/>
  <c r="Q49" i="26"/>
  <c r="K49" i="26"/>
  <c r="J49" i="26"/>
  <c r="D49" i="26"/>
  <c r="C49" i="26"/>
  <c r="BH48" i="26"/>
  <c r="BG48" i="26"/>
  <c r="BA48" i="26"/>
  <c r="AZ48" i="26"/>
  <c r="AT48" i="26"/>
  <c r="AS48" i="26"/>
  <c r="AM48" i="26"/>
  <c r="AL48" i="26"/>
  <c r="AF48" i="26"/>
  <c r="AE48" i="26"/>
  <c r="Y48" i="26"/>
  <c r="X48" i="26"/>
  <c r="R48" i="26"/>
  <c r="Q48" i="26"/>
  <c r="K48" i="26"/>
  <c r="J48" i="26"/>
  <c r="D48" i="26"/>
  <c r="C48" i="26"/>
  <c r="BH47" i="26"/>
  <c r="BG47" i="26"/>
  <c r="BA47" i="26"/>
  <c r="AZ47" i="26"/>
  <c r="AT47" i="26"/>
  <c r="AS47" i="26"/>
  <c r="AM47" i="26"/>
  <c r="AL47" i="26"/>
  <c r="AF47" i="26"/>
  <c r="AE47" i="26"/>
  <c r="Y47" i="26"/>
  <c r="X47" i="26"/>
  <c r="R47" i="26"/>
  <c r="Q47" i="26"/>
  <c r="K47" i="26"/>
  <c r="J47" i="26"/>
  <c r="D47" i="26"/>
  <c r="C47" i="26"/>
  <c r="BH46" i="26"/>
  <c r="BG46" i="26"/>
  <c r="BA46" i="26"/>
  <c r="AZ46" i="26"/>
  <c r="AT46" i="26"/>
  <c r="AS46" i="26"/>
  <c r="AM46" i="26"/>
  <c r="AL46" i="26"/>
  <c r="AF46" i="26"/>
  <c r="AE46" i="26"/>
  <c r="Y46" i="26"/>
  <c r="X46" i="26"/>
  <c r="R46" i="26"/>
  <c r="Q46" i="26"/>
  <c r="K46" i="26"/>
  <c r="J46" i="26"/>
  <c r="D46" i="26"/>
  <c r="C46" i="26"/>
  <c r="BH45" i="26"/>
  <c r="BG45" i="26"/>
  <c r="BA45" i="26"/>
  <c r="AZ45" i="26"/>
  <c r="AT45" i="26"/>
  <c r="AS45" i="26"/>
  <c r="AM45" i="26"/>
  <c r="AL45" i="26"/>
  <c r="AF45" i="26"/>
  <c r="AE45" i="26"/>
  <c r="Y45" i="26"/>
  <c r="X45" i="26"/>
  <c r="R45" i="26"/>
  <c r="Q45" i="26"/>
  <c r="K45" i="26"/>
  <c r="J45" i="26"/>
  <c r="D45" i="26"/>
  <c r="C45" i="26"/>
  <c r="BH44" i="26"/>
  <c r="BG44" i="26"/>
  <c r="BA44" i="26"/>
  <c r="AZ44" i="26"/>
  <c r="AT44" i="26"/>
  <c r="AS44" i="26"/>
  <c r="AM44" i="26"/>
  <c r="AL44" i="26"/>
  <c r="AF44" i="26"/>
  <c r="AE44" i="26"/>
  <c r="Y44" i="26"/>
  <c r="X44" i="26"/>
  <c r="R44" i="26"/>
  <c r="Q44" i="26"/>
  <c r="K44" i="26"/>
  <c r="J44" i="26"/>
  <c r="D44" i="26"/>
  <c r="C44" i="26"/>
  <c r="BH43" i="26"/>
  <c r="BG43" i="26"/>
  <c r="BA43" i="26"/>
  <c r="AZ43" i="26"/>
  <c r="AT43" i="26"/>
  <c r="AS43" i="26"/>
  <c r="AM43" i="26"/>
  <c r="AL43" i="26"/>
  <c r="AF43" i="26"/>
  <c r="AE43" i="26"/>
  <c r="Y43" i="26"/>
  <c r="X43" i="26"/>
  <c r="R43" i="26"/>
  <c r="Q43" i="26"/>
  <c r="K43" i="26"/>
  <c r="J43" i="26"/>
  <c r="D43" i="26"/>
  <c r="C43" i="26"/>
  <c r="BH42" i="26"/>
  <c r="BG42" i="26"/>
  <c r="BA42" i="26"/>
  <c r="AZ42" i="26"/>
  <c r="AT42" i="26"/>
  <c r="AS42" i="26"/>
  <c r="AM42" i="26"/>
  <c r="AL42" i="26"/>
  <c r="AF42" i="26"/>
  <c r="AE42" i="26"/>
  <c r="Y42" i="26"/>
  <c r="X42" i="26"/>
  <c r="R42" i="26"/>
  <c r="Q42" i="26"/>
  <c r="K42" i="26"/>
  <c r="J42" i="26"/>
  <c r="D42" i="26"/>
  <c r="C42" i="26"/>
  <c r="BH41" i="26"/>
  <c r="BG41" i="26"/>
  <c r="BA41" i="26"/>
  <c r="AZ41" i="26"/>
  <c r="AT41" i="26"/>
  <c r="AS41" i="26"/>
  <c r="AM41" i="26"/>
  <c r="AL41" i="26"/>
  <c r="AF41" i="26"/>
  <c r="AE41" i="26"/>
  <c r="Y41" i="26"/>
  <c r="X41" i="26"/>
  <c r="R41" i="26"/>
  <c r="Q41" i="26"/>
  <c r="K41" i="26"/>
  <c r="J41" i="26"/>
  <c r="D41" i="26"/>
  <c r="C41" i="26"/>
  <c r="BH40" i="26"/>
  <c r="BG40" i="26"/>
  <c r="BA40" i="26"/>
  <c r="AZ40" i="26"/>
  <c r="AT40" i="26"/>
  <c r="AS40" i="26"/>
  <c r="AM40" i="26"/>
  <c r="AL40" i="26"/>
  <c r="AF40" i="26"/>
  <c r="AE40" i="26"/>
  <c r="Y40" i="26"/>
  <c r="X40" i="26"/>
  <c r="R40" i="26"/>
  <c r="Q40" i="26"/>
  <c r="K40" i="26"/>
  <c r="J40" i="26"/>
  <c r="D40" i="26"/>
  <c r="C40" i="26"/>
  <c r="BH39" i="26"/>
  <c r="BG39" i="26"/>
  <c r="BA39" i="26"/>
  <c r="AZ39" i="26"/>
  <c r="AT39" i="26"/>
  <c r="AS39" i="26"/>
  <c r="AM39" i="26"/>
  <c r="AL39" i="26"/>
  <c r="AF39" i="26"/>
  <c r="AE39" i="26"/>
  <c r="Y39" i="26"/>
  <c r="X39" i="26"/>
  <c r="R39" i="26"/>
  <c r="Q39" i="26"/>
  <c r="K39" i="26"/>
  <c r="J39" i="26"/>
  <c r="D39" i="26"/>
  <c r="C39" i="26"/>
  <c r="BH38" i="26"/>
  <c r="BG38" i="26"/>
  <c r="BA38" i="26"/>
  <c r="AZ38" i="26"/>
  <c r="AT38" i="26"/>
  <c r="AS38" i="26"/>
  <c r="AM38" i="26"/>
  <c r="AL38" i="26"/>
  <c r="AF38" i="26"/>
  <c r="AE38" i="26"/>
  <c r="Y38" i="26"/>
  <c r="X38" i="26"/>
  <c r="R38" i="26"/>
  <c r="Q38" i="26"/>
  <c r="K38" i="26"/>
  <c r="J38" i="26"/>
  <c r="D38" i="26"/>
  <c r="C38" i="26"/>
  <c r="BH37" i="26"/>
  <c r="BG37" i="26"/>
  <c r="BA37" i="26"/>
  <c r="AZ37" i="26"/>
  <c r="AT37" i="26"/>
  <c r="AS37" i="26"/>
  <c r="AM37" i="26"/>
  <c r="AL37" i="26"/>
  <c r="AF37" i="26"/>
  <c r="AE37" i="26"/>
  <c r="Y37" i="26"/>
  <c r="X37" i="26"/>
  <c r="R37" i="26"/>
  <c r="Q37" i="26"/>
  <c r="K37" i="26"/>
  <c r="J37" i="26"/>
  <c r="D37" i="26"/>
  <c r="C37" i="26"/>
  <c r="BH36" i="26"/>
  <c r="BG36" i="26"/>
  <c r="BA36" i="26"/>
  <c r="AZ36" i="26"/>
  <c r="AT36" i="26"/>
  <c r="AS36" i="26"/>
  <c r="AM36" i="26"/>
  <c r="AL36" i="26"/>
  <c r="AF36" i="26"/>
  <c r="AE36" i="26"/>
  <c r="Y36" i="26"/>
  <c r="X36" i="26"/>
  <c r="R36" i="26"/>
  <c r="Q36" i="26"/>
  <c r="K36" i="26"/>
  <c r="J36" i="26"/>
  <c r="D36" i="26"/>
  <c r="C36" i="26"/>
  <c r="BH35" i="26"/>
  <c r="BG35" i="26"/>
  <c r="BA35" i="26"/>
  <c r="AZ35" i="26"/>
  <c r="AT35" i="26"/>
  <c r="AS35" i="26"/>
  <c r="AM35" i="26"/>
  <c r="AL35" i="26"/>
  <c r="AF35" i="26"/>
  <c r="AE35" i="26"/>
  <c r="Y35" i="26"/>
  <c r="X35" i="26"/>
  <c r="R35" i="26"/>
  <c r="Q35" i="26"/>
  <c r="K35" i="26"/>
  <c r="J35" i="26"/>
  <c r="D35" i="26"/>
  <c r="C35" i="26"/>
  <c r="BH34" i="26"/>
  <c r="BG34" i="26"/>
  <c r="BA34" i="26"/>
  <c r="AZ34" i="26"/>
  <c r="AT34" i="26"/>
  <c r="AS34" i="26"/>
  <c r="AM34" i="26"/>
  <c r="AL34" i="26"/>
  <c r="AF34" i="26"/>
  <c r="AE34" i="26"/>
  <c r="Y34" i="26"/>
  <c r="X34" i="26"/>
  <c r="R34" i="26"/>
  <c r="Q34" i="26"/>
  <c r="K34" i="26"/>
  <c r="J34" i="26"/>
  <c r="D34" i="26"/>
  <c r="C34" i="26"/>
  <c r="BH33" i="26"/>
  <c r="BG33" i="26"/>
  <c r="BA33" i="26"/>
  <c r="AZ33" i="26"/>
  <c r="AT33" i="26"/>
  <c r="AS33" i="26"/>
  <c r="AM33" i="26"/>
  <c r="AL33" i="26"/>
  <c r="AF33" i="26"/>
  <c r="AE33" i="26"/>
  <c r="Y33" i="26"/>
  <c r="X33" i="26"/>
  <c r="R33" i="26"/>
  <c r="Q33" i="26"/>
  <c r="K33" i="26"/>
  <c r="J33" i="26"/>
  <c r="D33" i="26"/>
  <c r="C33" i="26"/>
  <c r="BH32" i="26"/>
  <c r="BG32" i="26"/>
  <c r="BA32" i="26"/>
  <c r="AZ32" i="26"/>
  <c r="AT32" i="26"/>
  <c r="AS32" i="26"/>
  <c r="AM32" i="26"/>
  <c r="AL32" i="26"/>
  <c r="AF32" i="26"/>
  <c r="AE32" i="26"/>
  <c r="Y32" i="26"/>
  <c r="X32" i="26"/>
  <c r="R32" i="26"/>
  <c r="Q32" i="26"/>
  <c r="K32" i="26"/>
  <c r="J32" i="26"/>
  <c r="D32" i="26"/>
  <c r="C32" i="26"/>
  <c r="BH31" i="26"/>
  <c r="BG31" i="26"/>
  <c r="BA31" i="26"/>
  <c r="AZ31" i="26"/>
  <c r="AT31" i="26"/>
  <c r="AS31" i="26"/>
  <c r="AM31" i="26"/>
  <c r="AL31" i="26"/>
  <c r="AF31" i="26"/>
  <c r="AE31" i="26"/>
  <c r="Y31" i="26"/>
  <c r="X31" i="26"/>
  <c r="R31" i="26"/>
  <c r="Q31" i="26"/>
  <c r="K31" i="26"/>
  <c r="J31" i="26"/>
  <c r="D31" i="26"/>
  <c r="C31" i="26"/>
  <c r="BH30" i="26"/>
  <c r="BG30" i="26"/>
  <c r="BA30" i="26"/>
  <c r="AZ30" i="26"/>
  <c r="AT30" i="26"/>
  <c r="AS30" i="26"/>
  <c r="AM30" i="26"/>
  <c r="AL30" i="26"/>
  <c r="AF30" i="26"/>
  <c r="AE30" i="26"/>
  <c r="Y30" i="26"/>
  <c r="X30" i="26"/>
  <c r="R30" i="26"/>
  <c r="Q30" i="26"/>
  <c r="K30" i="26"/>
  <c r="J30" i="26"/>
  <c r="D30" i="26"/>
  <c r="C30" i="26"/>
  <c r="BH29" i="26"/>
  <c r="BG29" i="26"/>
  <c r="BA29" i="26"/>
  <c r="AZ29" i="26"/>
  <c r="AT29" i="26"/>
  <c r="AS29" i="26"/>
  <c r="AM29" i="26"/>
  <c r="AL29" i="26"/>
  <c r="AF29" i="26"/>
  <c r="AE29" i="26"/>
  <c r="Y29" i="26"/>
  <c r="X29" i="26"/>
  <c r="R29" i="26"/>
  <c r="Q29" i="26"/>
  <c r="K29" i="26"/>
  <c r="J29" i="26"/>
  <c r="D29" i="26"/>
  <c r="C29" i="26"/>
  <c r="BH28" i="26"/>
  <c r="BG28" i="26"/>
  <c r="BA28" i="26"/>
  <c r="AZ28" i="26"/>
  <c r="AT28" i="26"/>
  <c r="AS28" i="26"/>
  <c r="AM28" i="26"/>
  <c r="AL28" i="26"/>
  <c r="AF28" i="26"/>
  <c r="AE28" i="26"/>
  <c r="Y28" i="26"/>
  <c r="X28" i="26"/>
  <c r="R28" i="26"/>
  <c r="Q28" i="26"/>
  <c r="K28" i="26"/>
  <c r="J28" i="26"/>
  <c r="D28" i="26"/>
  <c r="C28" i="26"/>
  <c r="BH27" i="26"/>
  <c r="BG27" i="26"/>
  <c r="BA27" i="26"/>
  <c r="AZ27" i="26"/>
  <c r="AT27" i="26"/>
  <c r="AS27" i="26"/>
  <c r="AM27" i="26"/>
  <c r="AL27" i="26"/>
  <c r="AF27" i="26"/>
  <c r="AE27" i="26"/>
  <c r="Y27" i="26"/>
  <c r="X27" i="26"/>
  <c r="R27" i="26"/>
  <c r="Q27" i="26"/>
  <c r="K27" i="26"/>
  <c r="J27" i="26"/>
  <c r="D27" i="26"/>
  <c r="C27" i="26"/>
  <c r="BH26" i="26"/>
  <c r="BG26" i="26"/>
  <c r="BA26" i="26"/>
  <c r="AZ26" i="26"/>
  <c r="AT26" i="26"/>
  <c r="AS26" i="26"/>
  <c r="AM26" i="26"/>
  <c r="AL26" i="26"/>
  <c r="AF26" i="26"/>
  <c r="AE26" i="26"/>
  <c r="Y26" i="26"/>
  <c r="X26" i="26"/>
  <c r="R26" i="26"/>
  <c r="Q26" i="26"/>
  <c r="K26" i="26"/>
  <c r="J26" i="26"/>
  <c r="D26" i="26"/>
  <c r="C26" i="26"/>
  <c r="BH25" i="26"/>
  <c r="BG25" i="26"/>
  <c r="BA25" i="26"/>
  <c r="AZ25" i="26"/>
  <c r="AT25" i="26"/>
  <c r="AS25" i="26"/>
  <c r="AM25" i="26"/>
  <c r="AL25" i="26"/>
  <c r="AF25" i="26"/>
  <c r="AE25" i="26"/>
  <c r="Y25" i="26"/>
  <c r="X25" i="26"/>
  <c r="R25" i="26"/>
  <c r="Q25" i="26"/>
  <c r="K25" i="26"/>
  <c r="J25" i="26"/>
  <c r="D25" i="26"/>
  <c r="C25" i="26"/>
  <c r="BH24" i="26"/>
  <c r="BG24" i="26"/>
  <c r="BA24" i="26"/>
  <c r="AZ24" i="26"/>
  <c r="AT24" i="26"/>
  <c r="AS24" i="26"/>
  <c r="AM24" i="26"/>
  <c r="AL24" i="26"/>
  <c r="AF24" i="26"/>
  <c r="AE24" i="26"/>
  <c r="Y24" i="26"/>
  <c r="X24" i="26"/>
  <c r="R24" i="26"/>
  <c r="Q24" i="26"/>
  <c r="K24" i="26"/>
  <c r="J24" i="26"/>
  <c r="D24" i="26"/>
  <c r="C24" i="26"/>
  <c r="BH23" i="26"/>
  <c r="BG23" i="26"/>
  <c r="BA23" i="26"/>
  <c r="AZ23" i="26"/>
  <c r="AT23" i="26"/>
  <c r="AS23" i="26"/>
  <c r="AM23" i="26"/>
  <c r="AL23" i="26"/>
  <c r="AF23" i="26"/>
  <c r="AE23" i="26"/>
  <c r="Y23" i="26"/>
  <c r="X23" i="26"/>
  <c r="R23" i="26"/>
  <c r="Q23" i="26"/>
  <c r="K23" i="26"/>
  <c r="J23" i="26"/>
  <c r="D23" i="26"/>
  <c r="C23" i="26"/>
  <c r="BH22" i="26"/>
  <c r="BG22" i="26"/>
  <c r="BA22" i="26"/>
  <c r="AZ22" i="26"/>
  <c r="AT22" i="26"/>
  <c r="AS22" i="26"/>
  <c r="AM22" i="26"/>
  <c r="AL22" i="26"/>
  <c r="AF22" i="26"/>
  <c r="AE22" i="26"/>
  <c r="Y22" i="26"/>
  <c r="X22" i="26"/>
  <c r="R22" i="26"/>
  <c r="Q22" i="26"/>
  <c r="K22" i="26"/>
  <c r="J22" i="26"/>
  <c r="D22" i="26"/>
  <c r="C22" i="26"/>
  <c r="BH21" i="26"/>
  <c r="BG21" i="26"/>
  <c r="BA21" i="26"/>
  <c r="AZ21" i="26"/>
  <c r="AT21" i="26"/>
  <c r="AS21" i="26"/>
  <c r="AM21" i="26"/>
  <c r="AL21" i="26"/>
  <c r="AF21" i="26"/>
  <c r="AE21" i="26"/>
  <c r="Y21" i="26"/>
  <c r="X21" i="26"/>
  <c r="R21" i="26"/>
  <c r="Q21" i="26"/>
  <c r="K21" i="26"/>
  <c r="J21" i="26"/>
  <c r="D21" i="26"/>
  <c r="C21" i="26"/>
  <c r="BH20" i="26"/>
  <c r="BG20" i="26"/>
  <c r="BA20" i="26"/>
  <c r="AZ20" i="26"/>
  <c r="AT20" i="26"/>
  <c r="AS20" i="26"/>
  <c r="AM20" i="26"/>
  <c r="AL20" i="26"/>
  <c r="AF20" i="26"/>
  <c r="AE20" i="26"/>
  <c r="Y20" i="26"/>
  <c r="X20" i="26"/>
  <c r="R20" i="26"/>
  <c r="Q20" i="26"/>
  <c r="K20" i="26"/>
  <c r="J20" i="26"/>
  <c r="D20" i="26"/>
  <c r="C20" i="26"/>
  <c r="BH19" i="26"/>
  <c r="BG19" i="26"/>
  <c r="BA19" i="26"/>
  <c r="AZ19" i="26"/>
  <c r="AT19" i="26"/>
  <c r="AS19" i="26"/>
  <c r="AM19" i="26"/>
  <c r="AL19" i="26"/>
  <c r="AF19" i="26"/>
  <c r="AE19" i="26"/>
  <c r="Y19" i="26"/>
  <c r="X19" i="26"/>
  <c r="R19" i="26"/>
  <c r="Q19" i="26"/>
  <c r="K19" i="26"/>
  <c r="J19" i="26"/>
  <c r="D19" i="26"/>
  <c r="C19" i="26"/>
  <c r="BH18" i="26"/>
  <c r="BG18" i="26"/>
  <c r="BA18" i="26"/>
  <c r="AZ18" i="26"/>
  <c r="AT18" i="26"/>
  <c r="AS18" i="26"/>
  <c r="AM18" i="26"/>
  <c r="AL18" i="26"/>
  <c r="AF18" i="26"/>
  <c r="AE18" i="26"/>
  <c r="Y18" i="26"/>
  <c r="X18" i="26"/>
  <c r="R18" i="26"/>
  <c r="Q18" i="26"/>
  <c r="K18" i="26"/>
  <c r="J18" i="26"/>
  <c r="D18" i="26"/>
  <c r="C18" i="26"/>
  <c r="BH17" i="26"/>
  <c r="BG17" i="26"/>
  <c r="BA17" i="26"/>
  <c r="AZ17" i="26"/>
  <c r="AT17" i="26"/>
  <c r="AS17" i="26"/>
  <c r="AM17" i="26"/>
  <c r="AL17" i="26"/>
  <c r="AF17" i="26"/>
  <c r="AE17" i="26"/>
  <c r="Y17" i="26"/>
  <c r="X17" i="26"/>
  <c r="R17" i="26"/>
  <c r="Q17" i="26"/>
  <c r="K17" i="26"/>
  <c r="J17" i="26"/>
  <c r="D17" i="26"/>
  <c r="C17" i="26"/>
  <c r="BH16" i="26"/>
  <c r="BG16" i="26"/>
  <c r="BA16" i="26"/>
  <c r="AZ16" i="26"/>
  <c r="AT16" i="26"/>
  <c r="AS16" i="26"/>
  <c r="AM16" i="26"/>
  <c r="AL16" i="26"/>
  <c r="AF16" i="26"/>
  <c r="AE16" i="26"/>
  <c r="Y16" i="26"/>
  <c r="X16" i="26"/>
  <c r="R16" i="26"/>
  <c r="Q16" i="26"/>
  <c r="K16" i="26"/>
  <c r="J16" i="26"/>
  <c r="D16" i="26"/>
  <c r="C16" i="26"/>
  <c r="BH15" i="26"/>
  <c r="BG15" i="26"/>
  <c r="BA15" i="26"/>
  <c r="AZ15" i="26"/>
  <c r="AT15" i="26"/>
  <c r="AS15" i="26"/>
  <c r="AM15" i="26"/>
  <c r="AL15" i="26"/>
  <c r="AF15" i="26"/>
  <c r="AE15" i="26"/>
  <c r="Y15" i="26"/>
  <c r="X15" i="26"/>
  <c r="R15" i="26"/>
  <c r="Q15" i="26"/>
  <c r="K15" i="26"/>
  <c r="J15" i="26"/>
  <c r="D15" i="26"/>
  <c r="C15" i="26"/>
  <c r="BH14" i="26"/>
  <c r="BG14" i="26"/>
  <c r="BA14" i="26"/>
  <c r="AZ14" i="26"/>
  <c r="AT14" i="26"/>
  <c r="AS14" i="26"/>
  <c r="AM14" i="26"/>
  <c r="AL14" i="26"/>
  <c r="AF14" i="26"/>
  <c r="AE14" i="26"/>
  <c r="Y14" i="26"/>
  <c r="X14" i="26"/>
  <c r="R14" i="26"/>
  <c r="Q14" i="26"/>
  <c r="K14" i="26"/>
  <c r="J14" i="26"/>
  <c r="D14" i="26"/>
  <c r="C14" i="26"/>
  <c r="BH13" i="26"/>
  <c r="BG13" i="26"/>
  <c r="BA13" i="26"/>
  <c r="AZ13" i="26"/>
  <c r="AT13" i="26"/>
  <c r="AS13" i="26"/>
  <c r="AM13" i="26"/>
  <c r="AL13" i="26"/>
  <c r="AF13" i="26"/>
  <c r="AE13" i="26"/>
  <c r="Y13" i="26"/>
  <c r="X13" i="26"/>
  <c r="R13" i="26"/>
  <c r="Q13" i="26"/>
  <c r="K13" i="26"/>
  <c r="J13" i="26"/>
  <c r="D13" i="26"/>
  <c r="C13" i="26"/>
  <c r="BH12" i="26"/>
  <c r="BG12" i="26"/>
  <c r="BA12" i="26"/>
  <c r="AZ12" i="26"/>
  <c r="AT12" i="26"/>
  <c r="AS12" i="26"/>
  <c r="AM12" i="26"/>
  <c r="AL12" i="26"/>
  <c r="AF12" i="26"/>
  <c r="AE12" i="26"/>
  <c r="Y12" i="26"/>
  <c r="X12" i="26"/>
  <c r="R12" i="26"/>
  <c r="Q12" i="26"/>
  <c r="K12" i="26"/>
  <c r="J12" i="26"/>
  <c r="D12" i="26"/>
  <c r="C12" i="26"/>
  <c r="BH11" i="26"/>
  <c r="BG11" i="26"/>
  <c r="BA11" i="26"/>
  <c r="AZ11" i="26"/>
  <c r="AT11" i="26"/>
  <c r="AS11" i="26"/>
  <c r="AM11" i="26"/>
  <c r="AL11" i="26"/>
  <c r="AF11" i="26"/>
  <c r="AE11" i="26"/>
  <c r="Y11" i="26"/>
  <c r="X11" i="26"/>
  <c r="R11" i="26"/>
  <c r="Q11" i="26"/>
  <c r="K11" i="26"/>
  <c r="J11" i="26"/>
  <c r="D11" i="26"/>
  <c r="C11" i="26"/>
  <c r="BH10" i="26"/>
  <c r="BG10" i="26"/>
  <c r="BA10" i="26"/>
  <c r="AZ10" i="26"/>
  <c r="AT10" i="26"/>
  <c r="AS10" i="26"/>
  <c r="AR3" i="26" s="1"/>
  <c r="AR4" i="26" s="1"/>
  <c r="AM10" i="26"/>
  <c r="AL10" i="26"/>
  <c r="AF10" i="26"/>
  <c r="AE10" i="26"/>
  <c r="Y10" i="26"/>
  <c r="X10" i="26"/>
  <c r="R10" i="26"/>
  <c r="Q10" i="26"/>
  <c r="K10" i="26"/>
  <c r="J10" i="26"/>
  <c r="D10" i="26"/>
  <c r="C10" i="26"/>
  <c r="BH9" i="26"/>
  <c r="BG9" i="26"/>
  <c r="BA9" i="26"/>
  <c r="AZ9" i="26"/>
  <c r="AT9" i="26"/>
  <c r="AS9" i="26"/>
  <c r="AM9" i="26"/>
  <c r="AL9" i="26"/>
  <c r="AK3" i="26" s="1"/>
  <c r="AK4" i="26" s="1"/>
  <c r="AF9" i="26"/>
  <c r="AE9" i="26"/>
  <c r="Y9" i="26"/>
  <c r="X9" i="26"/>
  <c r="W3" i="26" s="1"/>
  <c r="W4" i="26" s="1"/>
  <c r="R9" i="26"/>
  <c r="Q9" i="26"/>
  <c r="P3" i="26" s="1"/>
  <c r="P4" i="26" s="1"/>
  <c r="K9" i="26"/>
  <c r="J9" i="26"/>
  <c r="I3" i="26" s="1"/>
  <c r="I4" i="26" s="1"/>
  <c r="D9" i="26"/>
  <c r="C9" i="26"/>
  <c r="BH8" i="26"/>
  <c r="BA8" i="26"/>
  <c r="AT8" i="26"/>
  <c r="AM8" i="26"/>
  <c r="AF8" i="26"/>
  <c r="Y8" i="26"/>
  <c r="R8" i="26"/>
  <c r="K8" i="26"/>
  <c r="D8" i="26"/>
  <c r="AY3" i="26"/>
  <c r="AY4" i="26" s="1"/>
  <c r="BF2" i="26"/>
  <c r="BI1" i="26" s="1"/>
  <c r="AY2" i="26"/>
  <c r="BB1" i="26" s="1"/>
  <c r="AR2" i="26"/>
  <c r="AK2" i="26"/>
  <c r="AD2" i="26"/>
  <c r="AG1" i="26" s="1"/>
  <c r="W2" i="26"/>
  <c r="P2" i="26"/>
  <c r="I2" i="26"/>
  <c r="B2" i="26"/>
  <c r="E1" i="26" s="1"/>
  <c r="BF1" i="26"/>
  <c r="AY1" i="26"/>
  <c r="AU1" i="26"/>
  <c r="AR1" i="26"/>
  <c r="AK1" i="26"/>
  <c r="AN1" i="26" s="1"/>
  <c r="AD1" i="26"/>
  <c r="W1" i="26"/>
  <c r="S1" i="26"/>
  <c r="P1" i="26"/>
  <c r="I1" i="26"/>
  <c r="L1" i="26" s="1"/>
  <c r="B1" i="26"/>
  <c r="H25" i="27"/>
  <c r="E59" i="27"/>
  <c r="E15" i="27"/>
  <c r="H37" i="27"/>
  <c r="E35" i="27"/>
  <c r="H16" i="27"/>
  <c r="H32" i="27"/>
  <c r="H43" i="27"/>
  <c r="E9" i="27"/>
  <c r="H23" i="27"/>
  <c r="H39" i="27"/>
  <c r="H14" i="27"/>
  <c r="H30" i="27"/>
  <c r="H40" i="27"/>
  <c r="H56" i="27"/>
  <c r="H51" i="27"/>
  <c r="H46" i="27"/>
  <c r="H65" i="27"/>
  <c r="H72" i="27"/>
  <c r="H63" i="27"/>
  <c r="H79" i="27"/>
  <c r="H89" i="27"/>
  <c r="H81" i="27"/>
  <c r="H84" i="27"/>
  <c r="H114" i="27"/>
  <c r="H101" i="27"/>
  <c r="H98" i="27"/>
  <c r="H105" i="27"/>
  <c r="H100" i="27"/>
  <c r="H107" i="27"/>
  <c r="H120" i="27"/>
  <c r="H119" i="27"/>
  <c r="H128" i="27"/>
  <c r="H126" i="27"/>
  <c r="H129" i="27"/>
  <c r="E124" i="27"/>
  <c r="E102" i="27"/>
  <c r="E90" i="27"/>
  <c r="E112" i="27"/>
  <c r="E71" i="27"/>
  <c r="E136" i="27"/>
  <c r="E115" i="27"/>
  <c r="E92" i="27"/>
  <c r="E91" i="27"/>
  <c r="E75" i="27"/>
  <c r="E50" i="27"/>
  <c r="E13" i="27"/>
  <c r="E132" i="27"/>
  <c r="E113" i="27"/>
  <c r="E97" i="27"/>
  <c r="E88" i="27"/>
  <c r="E64" i="27"/>
  <c r="E46" i="27"/>
  <c r="E131" i="27"/>
  <c r="E118" i="27"/>
  <c r="E100" i="27"/>
  <c r="E72" i="27"/>
  <c r="E66" i="27"/>
  <c r="E58" i="27"/>
  <c r="E37" i="27"/>
  <c r="E41" i="27"/>
  <c r="E20" i="27"/>
  <c r="E32" i="27"/>
  <c r="E51" i="27"/>
  <c r="Z8" i="26"/>
  <c r="S4" i="26"/>
  <c r="AN4" i="26"/>
  <c r="E36" i="27"/>
  <c r="S8" i="26"/>
  <c r="E11" i="27"/>
  <c r="E23" i="27"/>
  <c r="H28" i="27"/>
  <c r="H97" i="27"/>
  <c r="H35" i="27"/>
  <c r="H26" i="27"/>
  <c r="H53" i="27"/>
  <c r="H47" i="27"/>
  <c r="H58" i="27"/>
  <c r="H110" i="27"/>
  <c r="H87" i="27"/>
  <c r="H93" i="27"/>
  <c r="H99" i="27"/>
  <c r="H117" i="27"/>
  <c r="H112" i="27"/>
  <c r="H115" i="27"/>
  <c r="H122" i="27"/>
  <c r="H125" i="27"/>
  <c r="E105" i="27"/>
  <c r="E77" i="27"/>
  <c r="E22" i="27"/>
  <c r="E119" i="27"/>
  <c r="E74" i="27"/>
  <c r="E39" i="27"/>
  <c r="E122" i="27"/>
  <c r="E76" i="27"/>
  <c r="E45" i="27"/>
  <c r="E126" i="27"/>
  <c r="E95" i="27"/>
  <c r="E57" i="27"/>
  <c r="E24" i="27"/>
  <c r="E16" i="27"/>
  <c r="E55" i="27"/>
  <c r="BB4" i="26"/>
  <c r="H21" i="27"/>
  <c r="E27" i="27"/>
  <c r="E79" i="27"/>
  <c r="H29" i="27"/>
  <c r="H17" i="27"/>
  <c r="H77" i="27"/>
  <c r="H20" i="27"/>
  <c r="H36" i="27"/>
  <c r="H45" i="27"/>
  <c r="H11" i="27"/>
  <c r="H27" i="27"/>
  <c r="H49" i="27"/>
  <c r="H18" i="27"/>
  <c r="H34" i="27"/>
  <c r="H44" i="27"/>
  <c r="H60" i="27"/>
  <c r="H55" i="27"/>
  <c r="H50" i="27"/>
  <c r="H73" i="27"/>
  <c r="H76" i="27"/>
  <c r="H67" i="27"/>
  <c r="H85" i="27"/>
  <c r="H70" i="27"/>
  <c r="H82" i="27"/>
  <c r="H88" i="27"/>
  <c r="H91" i="27"/>
  <c r="H102" i="27"/>
  <c r="H103" i="27"/>
  <c r="H109" i="27"/>
  <c r="H104" i="27"/>
  <c r="H111" i="27"/>
  <c r="H124" i="27"/>
  <c r="H123" i="27"/>
  <c r="H127" i="27"/>
  <c r="H130" i="27"/>
  <c r="H133" i="27"/>
  <c r="E121" i="27"/>
  <c r="E103" i="27"/>
  <c r="E84" i="27"/>
  <c r="E78" i="27"/>
  <c r="E53" i="27"/>
  <c r="E129" i="27"/>
  <c r="E114" i="27"/>
  <c r="E104" i="27"/>
  <c r="E73" i="27"/>
  <c r="E52" i="27"/>
  <c r="E18" i="27"/>
  <c r="E29" i="27"/>
  <c r="E125" i="27"/>
  <c r="E110" i="27"/>
  <c r="E98" i="27"/>
  <c r="E69" i="27"/>
  <c r="E48" i="27"/>
  <c r="E14" i="27"/>
  <c r="E128" i="27"/>
  <c r="E109" i="27"/>
  <c r="E93" i="27"/>
  <c r="E83" i="27"/>
  <c r="E60" i="27"/>
  <c r="E42" i="27"/>
  <c r="E40" i="27"/>
  <c r="E10" i="27"/>
  <c r="E38" i="27"/>
  <c r="E12" i="27"/>
  <c r="L4" i="26"/>
  <c r="H13" i="27"/>
  <c r="H9" i="27"/>
  <c r="E43" i="27"/>
  <c r="E4" i="27"/>
  <c r="E31" i="27"/>
  <c r="E19" i="27"/>
  <c r="H8" i="27"/>
  <c r="H24" i="27"/>
  <c r="H41" i="27"/>
  <c r="H61" i="27"/>
  <c r="H15" i="27"/>
  <c r="H31" i="27"/>
  <c r="H66" i="27"/>
  <c r="H22" i="27"/>
  <c r="H38" i="27"/>
  <c r="H48" i="27"/>
  <c r="H62" i="27"/>
  <c r="H59" i="27"/>
  <c r="H54" i="27"/>
  <c r="H64" i="27"/>
  <c r="H80" i="27"/>
  <c r="H71" i="27"/>
  <c r="H86" i="27"/>
  <c r="H74" i="27"/>
  <c r="H83" i="27"/>
  <c r="H92" i="27"/>
  <c r="H95" i="27"/>
  <c r="H90" i="27"/>
  <c r="H106" i="27"/>
  <c r="H113" i="27"/>
  <c r="H108" i="27"/>
  <c r="H132" i="27"/>
  <c r="H136" i="27"/>
  <c r="H118" i="27"/>
  <c r="H131" i="27"/>
  <c r="H134" i="27"/>
  <c r="E127" i="27"/>
  <c r="E134" i="27"/>
  <c r="E96" i="27"/>
  <c r="E68" i="27"/>
  <c r="E85" i="27"/>
  <c r="E54" i="27"/>
  <c r="E120" i="27"/>
  <c r="E123" i="27"/>
  <c r="E86" i="27"/>
  <c r="E101" i="27"/>
  <c r="E67" i="27"/>
  <c r="E34" i="27"/>
  <c r="E63" i="27"/>
  <c r="E116" i="27"/>
  <c r="E111" i="27"/>
  <c r="E82" i="27"/>
  <c r="E87" i="27"/>
  <c r="E61" i="27"/>
  <c r="E30" i="27"/>
  <c r="E130" i="27"/>
  <c r="E106" i="27"/>
  <c r="E94" i="27"/>
  <c r="E65" i="27"/>
  <c r="E44" i="27"/>
  <c r="E26" i="27"/>
  <c r="E8" i="27"/>
  <c r="E33" i="27"/>
  <c r="E21" i="27"/>
  <c r="E62" i="27"/>
  <c r="E28" i="27"/>
  <c r="L8" i="26"/>
  <c r="AU8" i="26"/>
  <c r="H57" i="27"/>
  <c r="H33" i="27"/>
  <c r="H12" i="27"/>
  <c r="H42" i="27"/>
  <c r="H19" i="27"/>
  <c r="H10" i="27"/>
  <c r="H52" i="27"/>
  <c r="H69" i="27"/>
  <c r="H68" i="27"/>
  <c r="H75" i="27"/>
  <c r="H78" i="27"/>
  <c r="H96" i="27"/>
  <c r="H94" i="27"/>
  <c r="H121" i="27"/>
  <c r="H116" i="27"/>
  <c r="H135" i="27"/>
  <c r="E133" i="27"/>
  <c r="E89" i="27"/>
  <c r="E56" i="27"/>
  <c r="E117" i="27"/>
  <c r="E80" i="27"/>
  <c r="E49" i="27"/>
  <c r="E135" i="27"/>
  <c r="E108" i="27"/>
  <c r="E70" i="27"/>
  <c r="E25" i="27"/>
  <c r="E107" i="27"/>
  <c r="E81" i="27"/>
  <c r="E47" i="27"/>
  <c r="E99" i="27"/>
  <c r="E17" i="27"/>
  <c r="AU4" i="26"/>
  <c r="I135" i="27" l="1"/>
  <c r="I116" i="27"/>
  <c r="I121" i="27"/>
  <c r="I94" i="27"/>
  <c r="I96" i="27"/>
  <c r="I78" i="27"/>
  <c r="L79" i="27" s="1"/>
  <c r="M79" i="27" s="1"/>
  <c r="I75" i="27"/>
  <c r="I68" i="27"/>
  <c r="I69" i="27"/>
  <c r="I52" i="27"/>
  <c r="I10" i="27"/>
  <c r="I19" i="27"/>
  <c r="L20" i="27" s="1"/>
  <c r="M20" i="27" s="1"/>
  <c r="I42" i="27"/>
  <c r="I12" i="27"/>
  <c r="I33" i="27"/>
  <c r="I57" i="27"/>
  <c r="I134" i="27"/>
  <c r="I131" i="27"/>
  <c r="I118" i="27"/>
  <c r="I136" i="27"/>
  <c r="I132" i="27"/>
  <c r="I108" i="27"/>
  <c r="I113" i="27"/>
  <c r="I106" i="27"/>
  <c r="I90" i="27"/>
  <c r="L91" i="27" s="1"/>
  <c r="M91" i="27" s="1"/>
  <c r="I95" i="27"/>
  <c r="I92" i="27"/>
  <c r="I83" i="27"/>
  <c r="L84" i="27" s="1"/>
  <c r="M84" i="27" s="1"/>
  <c r="I74" i="27"/>
  <c r="I86" i="27"/>
  <c r="I71" i="27"/>
  <c r="I80" i="27"/>
  <c r="I64" i="27"/>
  <c r="I54" i="27"/>
  <c r="I59" i="27"/>
  <c r="I62" i="27"/>
  <c r="I48" i="27"/>
  <c r="L49" i="27" s="1"/>
  <c r="M49" i="27" s="1"/>
  <c r="I38" i="27"/>
  <c r="I22" i="27"/>
  <c r="I66" i="27"/>
  <c r="I31" i="27"/>
  <c r="I15" i="27"/>
  <c r="I61" i="27"/>
  <c r="I41" i="27"/>
  <c r="I24" i="27"/>
  <c r="I8" i="27"/>
  <c r="I9" i="27"/>
  <c r="I13" i="27"/>
  <c r="L14" i="27" s="1"/>
  <c r="M14" i="27" s="1"/>
  <c r="I133" i="27"/>
  <c r="L134" i="27" s="1"/>
  <c r="M134" i="27" s="1"/>
  <c r="I130" i="27"/>
  <c r="I127" i="27"/>
  <c r="I123" i="27"/>
  <c r="I124" i="27"/>
  <c r="I111" i="27"/>
  <c r="I104" i="27"/>
  <c r="I109" i="27"/>
  <c r="I103" i="27"/>
  <c r="I102" i="27"/>
  <c r="I91" i="27"/>
  <c r="I88" i="27"/>
  <c r="L89" i="27" s="1"/>
  <c r="M89" i="27" s="1"/>
  <c r="I82" i="27"/>
  <c r="I70" i="27"/>
  <c r="I85" i="27"/>
  <c r="I67" i="27"/>
  <c r="I76" i="27"/>
  <c r="I73" i="27"/>
  <c r="L74" i="27" s="1"/>
  <c r="M74" i="27" s="1"/>
  <c r="I50" i="27"/>
  <c r="I55" i="27"/>
  <c r="I60" i="27"/>
  <c r="I44" i="27"/>
  <c r="I34" i="27"/>
  <c r="I18" i="27"/>
  <c r="I49" i="27"/>
  <c r="I27" i="27"/>
  <c r="I11" i="27"/>
  <c r="I45" i="27"/>
  <c r="I36" i="27"/>
  <c r="I20" i="27"/>
  <c r="I77" i="27"/>
  <c r="I17" i="27"/>
  <c r="I29" i="27"/>
  <c r="I21" i="27"/>
  <c r="L22" i="27" s="1"/>
  <c r="M22" i="27" s="1"/>
  <c r="I125" i="27"/>
  <c r="I122" i="27"/>
  <c r="I115" i="27"/>
  <c r="I112" i="27"/>
  <c r="I117" i="27"/>
  <c r="I99" i="27"/>
  <c r="L100" i="27" s="1"/>
  <c r="M100" i="27" s="1"/>
  <c r="I93" i="27"/>
  <c r="I87" i="27"/>
  <c r="I110" i="27"/>
  <c r="I58" i="27"/>
  <c r="I47" i="27"/>
  <c r="L48" i="27" s="1"/>
  <c r="M48" i="27" s="1"/>
  <c r="I53" i="27"/>
  <c r="I26" i="27"/>
  <c r="I35" i="27"/>
  <c r="I97" i="27"/>
  <c r="L98" i="27" s="1"/>
  <c r="M98" i="27" s="1"/>
  <c r="I28" i="27"/>
  <c r="L29" i="27" s="1"/>
  <c r="M29" i="27" s="1"/>
  <c r="I129" i="27"/>
  <c r="I126" i="27"/>
  <c r="I128" i="27"/>
  <c r="L129" i="27" s="1"/>
  <c r="M129" i="27" s="1"/>
  <c r="I119" i="27"/>
  <c r="L120" i="27" s="1"/>
  <c r="M120" i="27" s="1"/>
  <c r="I120" i="27"/>
  <c r="I107" i="27"/>
  <c r="L108" i="27" s="1"/>
  <c r="M108" i="27" s="1"/>
  <c r="I100" i="27"/>
  <c r="I105" i="27"/>
  <c r="L106" i="27" s="1"/>
  <c r="M106" i="27" s="1"/>
  <c r="I98" i="27"/>
  <c r="I101" i="27"/>
  <c r="I114" i="27"/>
  <c r="I84" i="27"/>
  <c r="I81" i="27"/>
  <c r="I89" i="27"/>
  <c r="I79" i="27"/>
  <c r="I63" i="27"/>
  <c r="L64" i="27" s="1"/>
  <c r="M64" i="27" s="1"/>
  <c r="I72" i="27"/>
  <c r="I65" i="27"/>
  <c r="I46" i="27"/>
  <c r="I51" i="27"/>
  <c r="L52" i="27" s="1"/>
  <c r="M52" i="27" s="1"/>
  <c r="I56" i="27"/>
  <c r="I40" i="27"/>
  <c r="I30" i="27"/>
  <c r="I14" i="27"/>
  <c r="I39" i="27"/>
  <c r="I23" i="27"/>
  <c r="I43" i="27"/>
  <c r="L44" i="27" s="1"/>
  <c r="M44" i="27" s="1"/>
  <c r="I32" i="27"/>
  <c r="I16" i="27"/>
  <c r="I37" i="27"/>
  <c r="I25" i="27"/>
  <c r="L26" i="27" s="1"/>
  <c r="M26" i="27" s="1"/>
  <c r="J135" i="27"/>
  <c r="J116" i="27"/>
  <c r="J121" i="27"/>
  <c r="J94" i="27"/>
  <c r="J96" i="27"/>
  <c r="J78" i="27"/>
  <c r="J75" i="27"/>
  <c r="J68" i="27"/>
  <c r="J69" i="27"/>
  <c r="J52" i="27"/>
  <c r="J10" i="27"/>
  <c r="J19" i="27"/>
  <c r="J42" i="27"/>
  <c r="J12" i="27"/>
  <c r="J33" i="27"/>
  <c r="J57" i="27"/>
  <c r="J134" i="27"/>
  <c r="J131" i="27"/>
  <c r="J118" i="27"/>
  <c r="J136" i="27"/>
  <c r="J137" i="27"/>
  <c r="J132" i="27"/>
  <c r="J108" i="27"/>
  <c r="J113" i="27"/>
  <c r="J106" i="27"/>
  <c r="J90" i="27"/>
  <c r="J95" i="27"/>
  <c r="J92" i="27"/>
  <c r="J83" i="27"/>
  <c r="J74" i="27"/>
  <c r="J86" i="27"/>
  <c r="J71" i="27"/>
  <c r="J80" i="27"/>
  <c r="J64" i="27"/>
  <c r="J54" i="27"/>
  <c r="J59" i="27"/>
  <c r="J62" i="27"/>
  <c r="J48" i="27"/>
  <c r="J38" i="27"/>
  <c r="J22" i="27"/>
  <c r="J66" i="27"/>
  <c r="J31" i="27"/>
  <c r="J15" i="27"/>
  <c r="J61" i="27"/>
  <c r="J41" i="27"/>
  <c r="J24" i="27"/>
  <c r="J9" i="27"/>
  <c r="J13" i="27"/>
  <c r="J133" i="27"/>
  <c r="J130" i="27"/>
  <c r="J127" i="27"/>
  <c r="J123" i="27"/>
  <c r="J124" i="27"/>
  <c r="J111" i="27"/>
  <c r="J104" i="27"/>
  <c r="J109" i="27"/>
  <c r="J103" i="27"/>
  <c r="J102" i="27"/>
  <c r="J91" i="27"/>
  <c r="J88" i="27"/>
  <c r="J82" i="27"/>
  <c r="J70" i="27"/>
  <c r="J85" i="27"/>
  <c r="J67" i="27"/>
  <c r="J76" i="27"/>
  <c r="J73" i="27"/>
  <c r="J50" i="27"/>
  <c r="J55" i="27"/>
  <c r="J60" i="27"/>
  <c r="J44" i="27"/>
  <c r="J34" i="27"/>
  <c r="J18" i="27"/>
  <c r="J49" i="27"/>
  <c r="J27" i="27"/>
  <c r="J11" i="27"/>
  <c r="J45" i="27"/>
  <c r="J36" i="27"/>
  <c r="J20" i="27"/>
  <c r="J77" i="27"/>
  <c r="J17" i="27"/>
  <c r="J29" i="27"/>
  <c r="J21" i="27"/>
  <c r="J125" i="27"/>
  <c r="J122" i="27"/>
  <c r="J115" i="27"/>
  <c r="J112" i="27"/>
  <c r="J117" i="27"/>
  <c r="J99" i="27"/>
  <c r="J93" i="27"/>
  <c r="J87" i="27"/>
  <c r="J110" i="27"/>
  <c r="J58" i="27"/>
  <c r="J47" i="27"/>
  <c r="J53" i="27"/>
  <c r="J26" i="27"/>
  <c r="J35" i="27"/>
  <c r="J97" i="27"/>
  <c r="J28" i="27"/>
  <c r="J129" i="27"/>
  <c r="J126" i="27"/>
  <c r="J128" i="27"/>
  <c r="J119" i="27"/>
  <c r="J120" i="27"/>
  <c r="J107" i="27"/>
  <c r="J100" i="27"/>
  <c r="J105" i="27"/>
  <c r="J98" i="27"/>
  <c r="J101" i="27"/>
  <c r="J114" i="27"/>
  <c r="J84" i="27"/>
  <c r="J81" i="27"/>
  <c r="J89" i="27"/>
  <c r="J79" i="27"/>
  <c r="J63" i="27"/>
  <c r="J72" i="27"/>
  <c r="J65" i="27"/>
  <c r="J46" i="27"/>
  <c r="J51" i="27"/>
  <c r="J56" i="27"/>
  <c r="J40" i="27"/>
  <c r="J30" i="27"/>
  <c r="J14" i="27"/>
  <c r="J39" i="27"/>
  <c r="J23" i="27"/>
  <c r="J43" i="27"/>
  <c r="J32" i="27"/>
  <c r="J16" i="27"/>
  <c r="J37" i="27"/>
  <c r="J25" i="27"/>
  <c r="B3" i="26"/>
  <c r="B4" i="26" s="1"/>
  <c r="AD3" i="26"/>
  <c r="AD4" i="26" s="1"/>
  <c r="BF3" i="26"/>
  <c r="BF4" i="26" s="1"/>
  <c r="L39" i="27"/>
  <c r="M39" i="27" s="1"/>
  <c r="L33" i="27"/>
  <c r="M33" i="27" s="1"/>
  <c r="L11" i="27"/>
  <c r="M11" i="27" s="1"/>
  <c r="L41" i="27"/>
  <c r="M41" i="27" s="1"/>
  <c r="L38" i="27"/>
  <c r="M38" i="27" s="1"/>
  <c r="L59" i="27"/>
  <c r="M59" i="27" s="1"/>
  <c r="L67" i="27"/>
  <c r="M67" i="27" s="1"/>
  <c r="L82" i="27"/>
  <c r="M82" i="27" s="1"/>
  <c r="L73" i="27"/>
  <c r="M73" i="27" s="1"/>
  <c r="L96" i="27"/>
  <c r="M96" i="27" s="1"/>
  <c r="L110" i="27"/>
  <c r="M110" i="27" s="1"/>
  <c r="L119" i="27"/>
  <c r="M119" i="27" s="1"/>
  <c r="L127" i="27"/>
  <c r="M127" i="27" s="1"/>
  <c r="L31" i="27"/>
  <c r="M31" i="27" s="1"/>
  <c r="L15" i="27"/>
  <c r="M15" i="27" s="1"/>
  <c r="L47" i="27"/>
  <c r="M47" i="27" s="1"/>
  <c r="L65" i="27"/>
  <c r="M65" i="27" s="1"/>
  <c r="L70" i="27"/>
  <c r="M70" i="27" s="1"/>
  <c r="L77" i="27"/>
  <c r="M77" i="27" s="1"/>
  <c r="L83" i="27"/>
  <c r="M83" i="27" s="1"/>
  <c r="L111" i="27"/>
  <c r="M111" i="27" s="1"/>
  <c r="L114" i="27"/>
  <c r="M114" i="27" s="1"/>
  <c r="L133" i="27"/>
  <c r="M133" i="27" s="1"/>
  <c r="L30" i="27"/>
  <c r="M30" i="27" s="1"/>
  <c r="L51" i="27"/>
  <c r="M51" i="27" s="1"/>
  <c r="L50" i="27"/>
  <c r="M50" i="27" s="1"/>
  <c r="L53" i="27"/>
  <c r="M53" i="27" s="1"/>
  <c r="L76" i="27"/>
  <c r="M76" i="27" s="1"/>
  <c r="L92" i="27"/>
  <c r="M92" i="27" s="1"/>
  <c r="L87" i="27"/>
  <c r="M87" i="27" s="1"/>
  <c r="L105" i="27"/>
  <c r="M105" i="27" s="1"/>
  <c r="L124" i="27"/>
  <c r="M124" i="27" s="1"/>
  <c r="L115" i="27"/>
  <c r="M115" i="27" s="1"/>
  <c r="L116" i="27"/>
  <c r="M116" i="27" s="1"/>
  <c r="L121" i="27"/>
  <c r="M121" i="27" s="1"/>
  <c r="L130" i="27"/>
  <c r="M130" i="27" s="1"/>
  <c r="L54" i="27"/>
  <c r="M54" i="27" s="1"/>
  <c r="L72" i="27"/>
  <c r="M72" i="27" s="1"/>
  <c r="L113" i="27"/>
  <c r="M113" i="27" s="1"/>
  <c r="L78" i="27"/>
  <c r="M78" i="27" s="1"/>
  <c r="L85" i="27"/>
  <c r="M85" i="27" s="1"/>
  <c r="L90" i="27"/>
  <c r="M90" i="27" s="1"/>
  <c r="L104" i="27"/>
  <c r="M104" i="27" s="1"/>
  <c r="L103" i="27"/>
  <c r="M103" i="27" s="1"/>
  <c r="L135" i="27"/>
  <c r="M135" i="27" s="1"/>
  <c r="L125" i="27"/>
  <c r="M125" i="27" s="1"/>
  <c r="L128" i="27"/>
  <c r="M128" i="27" s="1"/>
  <c r="L131" i="27"/>
  <c r="M131" i="27" s="1"/>
  <c r="L132" i="27"/>
  <c r="M132" i="27" s="1"/>
  <c r="L137" i="27"/>
  <c r="M137" i="27" s="1"/>
  <c r="L112" i="27"/>
  <c r="M112" i="27" s="1"/>
  <c r="L101" i="27"/>
  <c r="M101" i="27" s="1"/>
  <c r="L95" i="27"/>
  <c r="M95" i="27" s="1"/>
  <c r="L102" i="27"/>
  <c r="M102" i="27" s="1"/>
  <c r="L97" i="27"/>
  <c r="M97" i="27" s="1"/>
  <c r="L75" i="27"/>
  <c r="M75" i="27" s="1"/>
  <c r="L88" i="27"/>
  <c r="M88" i="27" s="1"/>
  <c r="L86" i="27"/>
  <c r="M86" i="27" s="1"/>
  <c r="L81" i="27"/>
  <c r="M81" i="27" s="1"/>
  <c r="L69" i="27"/>
  <c r="M69" i="27" s="1"/>
  <c r="L66" i="27"/>
  <c r="M66" i="27" s="1"/>
  <c r="L63" i="27"/>
  <c r="M63" i="27" s="1"/>
  <c r="L27" i="27"/>
  <c r="M27" i="27" s="1"/>
  <c r="L62" i="27"/>
  <c r="M62" i="27" s="1"/>
  <c r="L46" i="27"/>
  <c r="M46" i="27" s="1"/>
  <c r="L42" i="27"/>
  <c r="M42" i="27" s="1"/>
  <c r="L25" i="27"/>
  <c r="M25" i="27" s="1"/>
  <c r="L21" i="27"/>
  <c r="M21" i="27" s="1"/>
  <c r="L9" i="27"/>
  <c r="L36" i="27"/>
  <c r="M36" i="27" s="1"/>
  <c r="L34" i="27"/>
  <c r="M34" i="27" s="1"/>
  <c r="L24" i="27"/>
  <c r="M24" i="27" s="1"/>
  <c r="L32" i="27"/>
  <c r="M32" i="27" s="1"/>
  <c r="L16" i="27"/>
  <c r="M16" i="27" s="1"/>
  <c r="F8" i="27"/>
  <c r="F9" i="27" s="1"/>
  <c r="F10" i="27" s="1"/>
  <c r="F11" i="27" s="1"/>
  <c r="F12" i="27" s="1"/>
  <c r="F13" i="27" s="1"/>
  <c r="F14" i="27" s="1"/>
  <c r="F15" i="27" s="1"/>
  <c r="F16" i="27" s="1"/>
  <c r="F17" i="27" s="1"/>
  <c r="F18" i="27" s="1"/>
  <c r="F19" i="27" s="1"/>
  <c r="F20" i="27" s="1"/>
  <c r="F21" i="27" s="1"/>
  <c r="F22" i="27" s="1"/>
  <c r="F23" i="27" s="1"/>
  <c r="F24" i="27" s="1"/>
  <c r="F25" i="27" s="1"/>
  <c r="F26" i="27" s="1"/>
  <c r="F27" i="27" s="1"/>
  <c r="F28" i="27" s="1"/>
  <c r="F29" i="27" s="1"/>
  <c r="F30" i="27" s="1"/>
  <c r="F31" i="27" s="1"/>
  <c r="F32" i="27" s="1"/>
  <c r="F33" i="27" s="1"/>
  <c r="F34" i="27" s="1"/>
  <c r="F35" i="27" s="1"/>
  <c r="F36" i="27" s="1"/>
  <c r="F37" i="27" s="1"/>
  <c r="F38" i="27" s="1"/>
  <c r="F39" i="27" s="1"/>
  <c r="F40" i="27" s="1"/>
  <c r="F41" i="27" s="1"/>
  <c r="F42" i="27" s="1"/>
  <c r="F43" i="27" s="1"/>
  <c r="F44" i="27" s="1"/>
  <c r="F45" i="27" s="1"/>
  <c r="F46" i="27" s="1"/>
  <c r="F47" i="27" s="1"/>
  <c r="F48" i="27" s="1"/>
  <c r="F49" i="27" s="1"/>
  <c r="F50" i="27" s="1"/>
  <c r="F51" i="27" s="1"/>
  <c r="F52" i="27" s="1"/>
  <c r="F53" i="27" s="1"/>
  <c r="F54" i="27" s="1"/>
  <c r="F55" i="27" s="1"/>
  <c r="F56" i="27" s="1"/>
  <c r="F57" i="27" s="1"/>
  <c r="F58" i="27" s="1"/>
  <c r="F59" i="27" s="1"/>
  <c r="F60" i="27" s="1"/>
  <c r="F61" i="27" s="1"/>
  <c r="F62" i="27" s="1"/>
  <c r="F63" i="27" s="1"/>
  <c r="F64" i="27" s="1"/>
  <c r="F65" i="27" s="1"/>
  <c r="F66" i="27" s="1"/>
  <c r="F67" i="27" s="1"/>
  <c r="F68" i="27" s="1"/>
  <c r="F69" i="27" s="1"/>
  <c r="F70" i="27" s="1"/>
  <c r="F71" i="27" s="1"/>
  <c r="F72" i="27" s="1"/>
  <c r="F73" i="27" s="1"/>
  <c r="F74" i="27" s="1"/>
  <c r="F75" i="27" s="1"/>
  <c r="F76" i="27" s="1"/>
  <c r="F77" i="27" s="1"/>
  <c r="F78" i="27" s="1"/>
  <c r="F79" i="27" s="1"/>
  <c r="F80" i="27" s="1"/>
  <c r="F81" i="27" s="1"/>
  <c r="F82" i="27" s="1"/>
  <c r="F83" i="27" s="1"/>
  <c r="F84" i="27" s="1"/>
  <c r="F85" i="27" s="1"/>
  <c r="F86" i="27" s="1"/>
  <c r="F87" i="27" s="1"/>
  <c r="F88" i="27" s="1"/>
  <c r="F89" i="27" s="1"/>
  <c r="F90" i="27" s="1"/>
  <c r="F91" i="27" s="1"/>
  <c r="F92" i="27" s="1"/>
  <c r="F93" i="27" s="1"/>
  <c r="F94" i="27" s="1"/>
  <c r="F95" i="27" s="1"/>
  <c r="F96" i="27" s="1"/>
  <c r="F97" i="27" s="1"/>
  <c r="F98" i="27" s="1"/>
  <c r="F99" i="27" s="1"/>
  <c r="F100" i="27" s="1"/>
  <c r="F101" i="27" s="1"/>
  <c r="F102" i="27" s="1"/>
  <c r="F103" i="27" s="1"/>
  <c r="F104" i="27" s="1"/>
  <c r="F105" i="27" s="1"/>
  <c r="F106" i="27" s="1"/>
  <c r="F107" i="27" s="1"/>
  <c r="F108" i="27" s="1"/>
  <c r="F109" i="27" s="1"/>
  <c r="F110" i="27" s="1"/>
  <c r="F111" i="27" s="1"/>
  <c r="F112" i="27" s="1"/>
  <c r="F113" i="27" s="1"/>
  <c r="F114" i="27" s="1"/>
  <c r="F115" i="27" s="1"/>
  <c r="F116" i="27" s="1"/>
  <c r="F117" i="27" s="1"/>
  <c r="F118" i="27" s="1"/>
  <c r="F119" i="27" s="1"/>
  <c r="F120" i="27" s="1"/>
  <c r="F121" i="27" s="1"/>
  <c r="F122" i="27" s="1"/>
  <c r="F123" i="27" s="1"/>
  <c r="F124" i="27" s="1"/>
  <c r="F125" i="27" s="1"/>
  <c r="F126" i="27" s="1"/>
  <c r="F127" i="27" s="1"/>
  <c r="F128" i="27" s="1"/>
  <c r="F129" i="27" s="1"/>
  <c r="F130" i="27" s="1"/>
  <c r="F131" i="27" s="1"/>
  <c r="F132" i="27" s="1"/>
  <c r="F133" i="27" s="1"/>
  <c r="F134" i="27" s="1"/>
  <c r="F135" i="27" s="1"/>
  <c r="F136" i="27" s="1"/>
  <c r="F137" i="27" s="1"/>
  <c r="B5" i="27" s="1"/>
  <c r="L80" i="27"/>
  <c r="M80" i="27" s="1"/>
  <c r="L60" i="27"/>
  <c r="M60" i="27" s="1"/>
  <c r="L28" i="27"/>
  <c r="M28" i="27" s="1"/>
  <c r="L12" i="27"/>
  <c r="M12" i="27" s="1"/>
  <c r="L10" i="27"/>
  <c r="M10" i="27" s="1"/>
  <c r="T8" i="26"/>
  <c r="AV8" i="26"/>
  <c r="M8" i="26"/>
  <c r="Z1" i="26"/>
  <c r="E135" i="26"/>
  <c r="E127" i="26"/>
  <c r="E119" i="26"/>
  <c r="E111" i="26"/>
  <c r="E103" i="26"/>
  <c r="E95" i="26"/>
  <c r="E87" i="26"/>
  <c r="E79" i="26"/>
  <c r="E71" i="26"/>
  <c r="E63" i="26"/>
  <c r="E55" i="26"/>
  <c r="E47" i="26"/>
  <c r="E39" i="26"/>
  <c r="E31" i="26"/>
  <c r="E23" i="26"/>
  <c r="E15" i="26"/>
  <c r="E136" i="26"/>
  <c r="E128" i="26"/>
  <c r="E120" i="26"/>
  <c r="E112" i="26"/>
  <c r="E104" i="26"/>
  <c r="E96" i="26"/>
  <c r="E88" i="26"/>
  <c r="E80" i="26"/>
  <c r="E72" i="26"/>
  <c r="E64" i="26"/>
  <c r="E56" i="26"/>
  <c r="E48" i="26"/>
  <c r="E40" i="26"/>
  <c r="E32" i="26"/>
  <c r="E24" i="26"/>
  <c r="E16" i="26"/>
  <c r="E8" i="26"/>
  <c r="E133" i="26"/>
  <c r="E125" i="26"/>
  <c r="E117" i="26"/>
  <c r="E109" i="26"/>
  <c r="E101" i="26"/>
  <c r="E93" i="26"/>
  <c r="E85" i="26"/>
  <c r="E77" i="26"/>
  <c r="E69" i="26"/>
  <c r="E61" i="26"/>
  <c r="E53" i="26"/>
  <c r="E45" i="26"/>
  <c r="E37" i="26"/>
  <c r="E29" i="26"/>
  <c r="E21" i="26"/>
  <c r="E13" i="26"/>
  <c r="E134" i="26"/>
  <c r="E126" i="26"/>
  <c r="E118" i="26"/>
  <c r="E110" i="26"/>
  <c r="E102" i="26"/>
  <c r="E94" i="26"/>
  <c r="E86" i="26"/>
  <c r="E78" i="26"/>
  <c r="E70" i="26"/>
  <c r="E62" i="26"/>
  <c r="E54" i="26"/>
  <c r="E46" i="26"/>
  <c r="E38" i="26"/>
  <c r="E30" i="26"/>
  <c r="E22" i="26"/>
  <c r="E14" i="26"/>
  <c r="AG4" i="26"/>
  <c r="E113" i="26"/>
  <c r="E97" i="26"/>
  <c r="E81" i="26"/>
  <c r="E65" i="26"/>
  <c r="E49" i="26"/>
  <c r="E41" i="26"/>
  <c r="E25" i="26"/>
  <c r="E9" i="26"/>
  <c r="E122" i="26"/>
  <c r="E106" i="26"/>
  <c r="E90" i="26"/>
  <c r="E82" i="26"/>
  <c r="E66" i="26"/>
  <c r="E50" i="26"/>
  <c r="E42" i="26"/>
  <c r="E26" i="26"/>
  <c r="E10" i="26"/>
  <c r="Z4" i="26"/>
  <c r="E131" i="26"/>
  <c r="E123" i="26"/>
  <c r="E115" i="26"/>
  <c r="E107" i="26"/>
  <c r="E99" i="26"/>
  <c r="E91" i="26"/>
  <c r="E83" i="26"/>
  <c r="E75" i="26"/>
  <c r="E67" i="26"/>
  <c r="E59" i="26"/>
  <c r="E51" i="26"/>
  <c r="E43" i="26"/>
  <c r="E35" i="26"/>
  <c r="E27" i="26"/>
  <c r="E19" i="26"/>
  <c r="E11" i="26"/>
  <c r="E132" i="26"/>
  <c r="E124" i="26"/>
  <c r="E116" i="26"/>
  <c r="E108" i="26"/>
  <c r="E100" i="26"/>
  <c r="E92" i="26"/>
  <c r="E84" i="26"/>
  <c r="E76" i="26"/>
  <c r="E68" i="26"/>
  <c r="E60" i="26"/>
  <c r="E52" i="26"/>
  <c r="E44" i="26"/>
  <c r="E36" i="26"/>
  <c r="E28" i="26"/>
  <c r="E20" i="26"/>
  <c r="E12" i="26"/>
  <c r="BI4" i="26"/>
  <c r="E4" i="26"/>
  <c r="E129" i="26"/>
  <c r="E121" i="26"/>
  <c r="E105" i="26"/>
  <c r="E89" i="26"/>
  <c r="E73" i="26"/>
  <c r="E57" i="26"/>
  <c r="E33" i="26"/>
  <c r="E17" i="26"/>
  <c r="E130" i="26"/>
  <c r="E114" i="26"/>
  <c r="E98" i="26"/>
  <c r="E74" i="26"/>
  <c r="E58" i="26"/>
  <c r="E34" i="26"/>
  <c r="E18" i="26"/>
  <c r="L43" i="27" l="1"/>
  <c r="M43" i="27" s="1"/>
  <c r="L93" i="27"/>
  <c r="M93" i="27" s="1"/>
  <c r="L118" i="27"/>
  <c r="M118" i="27" s="1"/>
  <c r="L35" i="27"/>
  <c r="M35" i="27" s="1"/>
  <c r="L107" i="27"/>
  <c r="M107" i="27" s="1"/>
  <c r="L122" i="27"/>
  <c r="M122" i="27" s="1"/>
  <c r="L19" i="27"/>
  <c r="M19" i="27" s="1"/>
  <c r="L99" i="27"/>
  <c r="M99" i="27" s="1"/>
  <c r="L94" i="27"/>
  <c r="M94" i="27" s="1"/>
  <c r="L61" i="27"/>
  <c r="M61" i="27" s="1"/>
  <c r="L37" i="27"/>
  <c r="M37" i="27" s="1"/>
  <c r="L68" i="27"/>
  <c r="M68" i="27" s="1"/>
  <c r="L126" i="27"/>
  <c r="M126" i="27" s="1"/>
  <c r="L13" i="27"/>
  <c r="M13" i="27" s="1"/>
  <c r="L55" i="27"/>
  <c r="M55" i="27" s="1"/>
  <c r="L117" i="27"/>
  <c r="M117" i="27" s="1"/>
  <c r="L45" i="27"/>
  <c r="M45" i="27" s="1"/>
  <c r="L17" i="27"/>
  <c r="M17" i="27" s="1"/>
  <c r="L57" i="27"/>
  <c r="M57" i="27" s="1"/>
  <c r="L23" i="27"/>
  <c r="M23" i="27" s="1"/>
  <c r="L40" i="27"/>
  <c r="M40" i="27" s="1"/>
  <c r="L136" i="27"/>
  <c r="M136" i="27" s="1"/>
  <c r="L123" i="27"/>
  <c r="M123" i="27" s="1"/>
  <c r="L109" i="27"/>
  <c r="M109" i="27" s="1"/>
  <c r="L71" i="27"/>
  <c r="M71" i="27" s="1"/>
  <c r="L58" i="27"/>
  <c r="M58" i="27" s="1"/>
  <c r="L18" i="27"/>
  <c r="M18" i="27" s="1"/>
  <c r="L56" i="27"/>
  <c r="M56" i="27" s="1"/>
  <c r="AA8" i="26"/>
  <c r="F8" i="26"/>
  <c r="F9" i="26" s="1"/>
  <c r="F10" i="26" s="1"/>
  <c r="F11" i="26" s="1"/>
  <c r="F12" i="26" s="1"/>
  <c r="F13" i="26" s="1"/>
  <c r="F14" i="26" s="1"/>
  <c r="F15" i="26" s="1"/>
  <c r="F16" i="26" s="1"/>
  <c r="F17" i="26" s="1"/>
  <c r="F18" i="26" s="1"/>
  <c r="F19" i="26" s="1"/>
  <c r="F20" i="26" s="1"/>
  <c r="F21" i="26" s="1"/>
  <c r="F22" i="26" s="1"/>
  <c r="F23" i="26" s="1"/>
  <c r="F24" i="26" s="1"/>
  <c r="F25" i="26" s="1"/>
  <c r="F26" i="26" s="1"/>
  <c r="F27" i="26" s="1"/>
  <c r="F28" i="26" s="1"/>
  <c r="F29" i="26" s="1"/>
  <c r="F30" i="26" s="1"/>
  <c r="F31" i="26" s="1"/>
  <c r="F32" i="26" s="1"/>
  <c r="F33" i="26" s="1"/>
  <c r="F34" i="26" s="1"/>
  <c r="F35" i="26" s="1"/>
  <c r="F36" i="26" s="1"/>
  <c r="F37" i="26" s="1"/>
  <c r="F38" i="26" s="1"/>
  <c r="F39" i="26" s="1"/>
  <c r="F40" i="26" s="1"/>
  <c r="F41" i="26" s="1"/>
  <c r="F42" i="26" s="1"/>
  <c r="F43" i="26" s="1"/>
  <c r="F44" i="26" s="1"/>
  <c r="F45" i="26" s="1"/>
  <c r="F46" i="26" s="1"/>
  <c r="F47" i="26" s="1"/>
  <c r="F48" i="26" s="1"/>
  <c r="F49" i="26" s="1"/>
  <c r="F50" i="26" s="1"/>
  <c r="F51" i="26" s="1"/>
  <c r="F52" i="26" s="1"/>
  <c r="F53" i="26" s="1"/>
  <c r="F54" i="26" s="1"/>
  <c r="F55" i="26" s="1"/>
  <c r="F56" i="26" s="1"/>
  <c r="F57" i="26" s="1"/>
  <c r="F58" i="26" s="1"/>
  <c r="F59" i="26" s="1"/>
  <c r="F60" i="26" s="1"/>
  <c r="F61" i="26" s="1"/>
  <c r="F62" i="26" s="1"/>
  <c r="F63" i="26" s="1"/>
  <c r="F64" i="26" s="1"/>
  <c r="F65" i="26" s="1"/>
  <c r="F66" i="26" s="1"/>
  <c r="F67" i="26" s="1"/>
  <c r="F68" i="26" s="1"/>
  <c r="F69" i="26" s="1"/>
  <c r="F70" i="26" s="1"/>
  <c r="F71" i="26" s="1"/>
  <c r="F72" i="26" s="1"/>
  <c r="F73" i="26" s="1"/>
  <c r="F74" i="26" s="1"/>
  <c r="F75" i="26" s="1"/>
  <c r="F76" i="26" s="1"/>
  <c r="F77" i="26" s="1"/>
  <c r="F78" i="26" s="1"/>
  <c r="F79" i="26" s="1"/>
  <c r="F80" i="26" s="1"/>
  <c r="F81" i="26" s="1"/>
  <c r="F82" i="26" s="1"/>
  <c r="F83" i="26" s="1"/>
  <c r="F84" i="26" s="1"/>
  <c r="F85" i="26" s="1"/>
  <c r="F86" i="26" s="1"/>
  <c r="F87" i="26" s="1"/>
  <c r="F88" i="26" s="1"/>
  <c r="F89" i="26" s="1"/>
  <c r="F90" i="26" s="1"/>
  <c r="F91" i="26" s="1"/>
  <c r="F92" i="26" s="1"/>
  <c r="F93" i="26" s="1"/>
  <c r="F94" i="26" s="1"/>
  <c r="F95" i="26" s="1"/>
  <c r="F96" i="26" s="1"/>
  <c r="F97" i="26" s="1"/>
  <c r="F98" i="26" s="1"/>
  <c r="F99" i="26" s="1"/>
  <c r="F100" i="26" s="1"/>
  <c r="F101" i="26" s="1"/>
  <c r="F102" i="26" s="1"/>
  <c r="F103" i="26" s="1"/>
  <c r="F104" i="26" s="1"/>
  <c r="F105" i="26" s="1"/>
  <c r="F106" i="26" s="1"/>
  <c r="F107" i="26" s="1"/>
  <c r="F108" i="26" s="1"/>
  <c r="F109" i="26" s="1"/>
  <c r="F110" i="26" s="1"/>
  <c r="F111" i="26" s="1"/>
  <c r="F112" i="26" s="1"/>
  <c r="F113" i="26" s="1"/>
  <c r="F114" i="26" s="1"/>
  <c r="F115" i="26" s="1"/>
  <c r="F116" i="26" s="1"/>
  <c r="F117" i="26" s="1"/>
  <c r="F118" i="26" s="1"/>
  <c r="F119" i="26" s="1"/>
  <c r="F120" i="26" s="1"/>
  <c r="F121" i="26" s="1"/>
  <c r="F122" i="26" s="1"/>
  <c r="F123" i="26" s="1"/>
  <c r="F124" i="26" s="1"/>
  <c r="F125" i="26" s="1"/>
  <c r="F126" i="26" s="1"/>
  <c r="F127" i="26" s="1"/>
  <c r="F128" i="26" s="1"/>
  <c r="F129" i="26" s="1"/>
  <c r="F130" i="26" s="1"/>
  <c r="F131" i="26" s="1"/>
  <c r="F132" i="26" s="1"/>
  <c r="F133" i="26" s="1"/>
  <c r="F134" i="26" s="1"/>
  <c r="F135" i="26" s="1"/>
  <c r="F136" i="26" s="1"/>
  <c r="F137" i="26" s="1"/>
  <c r="B5" i="26" s="1"/>
  <c r="M9" i="27"/>
  <c r="AG78" i="26"/>
  <c r="BI108" i="26"/>
  <c r="BI44" i="26"/>
  <c r="Z74" i="26"/>
  <c r="AN101" i="26"/>
  <c r="AG124" i="26"/>
  <c r="AG65" i="26"/>
  <c r="BI95" i="26"/>
  <c r="Z132" i="26"/>
  <c r="Z61" i="26"/>
  <c r="AN92" i="26"/>
  <c r="BB121" i="26"/>
  <c r="AG96" i="26"/>
  <c r="BI131" i="26"/>
  <c r="BI62" i="26"/>
  <c r="Z92" i="26"/>
  <c r="AN135" i="26"/>
  <c r="AN59" i="26"/>
  <c r="AG103" i="26"/>
  <c r="AN128" i="26"/>
  <c r="BB77" i="26"/>
  <c r="L107" i="26"/>
  <c r="AN8" i="26"/>
  <c r="AG67" i="26"/>
  <c r="AN98" i="26"/>
  <c r="BB68" i="26"/>
  <c r="L98" i="26"/>
  <c r="S124" i="26"/>
  <c r="BI109" i="26"/>
  <c r="AN46" i="26"/>
  <c r="BB55" i="26"/>
  <c r="BB8" i="26"/>
  <c r="AG74" i="26"/>
  <c r="BI104" i="26"/>
  <c r="Z135" i="26"/>
  <c r="Z70" i="26"/>
  <c r="AN97" i="26"/>
  <c r="AG131" i="26"/>
  <c r="AG61" i="26"/>
  <c r="BI91" i="26"/>
  <c r="Z129" i="26"/>
  <c r="Z57" i="26"/>
  <c r="AN88" i="26"/>
  <c r="BB118" i="26"/>
  <c r="AG92" i="26"/>
  <c r="BI132" i="26"/>
  <c r="BI58" i="26"/>
  <c r="Z88" i="26"/>
  <c r="AN119" i="26"/>
  <c r="AN55" i="26"/>
  <c r="AG87" i="26"/>
  <c r="AN118" i="26"/>
  <c r="BB73" i="26"/>
  <c r="L103" i="26"/>
  <c r="S132" i="26"/>
  <c r="AG51" i="26"/>
  <c r="AN82" i="26"/>
  <c r="BB64" i="26"/>
  <c r="L94" i="26"/>
  <c r="S129" i="26"/>
  <c r="BI93" i="26"/>
  <c r="BB126" i="26"/>
  <c r="BB51" i="26"/>
  <c r="AG134" i="26"/>
  <c r="AG70" i="26"/>
  <c r="BI100" i="26"/>
  <c r="Z125" i="26"/>
  <c r="Z66" i="26"/>
  <c r="AN93" i="26"/>
  <c r="AG128" i="26"/>
  <c r="AG57" i="26"/>
  <c r="BI87" i="26"/>
  <c r="Z117" i="26"/>
  <c r="Z53" i="26"/>
  <c r="AN84" i="26"/>
  <c r="BB114" i="26"/>
  <c r="AG88" i="26"/>
  <c r="BI118" i="26"/>
  <c r="BI54" i="26"/>
  <c r="Z84" i="26"/>
  <c r="AN115" i="26"/>
  <c r="AN51" i="26"/>
  <c r="AG71" i="26"/>
  <c r="AN102" i="26"/>
  <c r="BB69" i="26"/>
  <c r="L99" i="26"/>
  <c r="S125" i="26"/>
  <c r="BI123" i="26"/>
  <c r="AN66" i="26"/>
  <c r="BB60" i="26"/>
  <c r="L90" i="26"/>
  <c r="S120" i="26"/>
  <c r="BI77" i="26"/>
  <c r="BB129" i="26"/>
  <c r="BB47" i="26"/>
  <c r="BI122" i="26"/>
  <c r="AN57" i="26"/>
  <c r="Z81" i="26"/>
  <c r="AG52" i="26"/>
  <c r="AN79" i="26"/>
  <c r="L123" i="26"/>
  <c r="BB88" i="26"/>
  <c r="Z78" i="26"/>
  <c r="BI99" i="26"/>
  <c r="BB136" i="26"/>
  <c r="Z96" i="26"/>
  <c r="Z51" i="26"/>
  <c r="AG83" i="26"/>
  <c r="S128" i="26"/>
  <c r="L93" i="26"/>
  <c r="S134" i="26"/>
  <c r="S59" i="26"/>
  <c r="AU88" i="26"/>
  <c r="AU10" i="26"/>
  <c r="L88" i="26"/>
  <c r="AU126" i="26"/>
  <c r="AU45" i="26"/>
  <c r="Z17" i="26"/>
  <c r="Z25" i="26"/>
  <c r="Z33" i="26"/>
  <c r="Z41" i="26"/>
  <c r="BB70" i="26"/>
  <c r="S62" i="26"/>
  <c r="AU70" i="26"/>
  <c r="BB14" i="26"/>
  <c r="BB22" i="26"/>
  <c r="BB30" i="26"/>
  <c r="AG135" i="26"/>
  <c r="AG62" i="26"/>
  <c r="BI92" i="26"/>
  <c r="Z121" i="26"/>
  <c r="Z58" i="26"/>
  <c r="AN85" i="26"/>
  <c r="AG113" i="26"/>
  <c r="AG49" i="26"/>
  <c r="BI79" i="26"/>
  <c r="Z109" i="26"/>
  <c r="Z45" i="26"/>
  <c r="AN76" i="26"/>
  <c r="BB106" i="26"/>
  <c r="AG80" i="26"/>
  <c r="BI110" i="26"/>
  <c r="BI46" i="26"/>
  <c r="Z76" i="26"/>
  <c r="AN107" i="26"/>
  <c r="AN43" i="26"/>
  <c r="BI130" i="26"/>
  <c r="AN70" i="26"/>
  <c r="BB61" i="26"/>
  <c r="L91" i="26"/>
  <c r="S121" i="26"/>
  <c r="BI97" i="26"/>
  <c r="BB127" i="26"/>
  <c r="BB52" i="26"/>
  <c r="L82" i="26"/>
  <c r="S112" i="26"/>
  <c r="BI45" i="26"/>
  <c r="BB107" i="26"/>
  <c r="L133" i="26"/>
  <c r="AG132" i="26"/>
  <c r="AG58" i="26"/>
  <c r="BI88" i="26"/>
  <c r="Z118" i="26"/>
  <c r="Z54" i="26"/>
  <c r="AN81" i="26"/>
  <c r="AG109" i="26"/>
  <c r="AG45" i="26"/>
  <c r="BI75" i="26"/>
  <c r="Z105" i="26"/>
  <c r="AN136" i="26"/>
  <c r="AN72" i="26"/>
  <c r="BB102" i="26"/>
  <c r="AG76" i="26"/>
  <c r="BI106" i="26"/>
  <c r="Z134" i="26"/>
  <c r="Z72" i="26"/>
  <c r="AN103" i="26"/>
  <c r="BB131" i="26"/>
  <c r="BI117" i="26"/>
  <c r="AN54" i="26"/>
  <c r="BB57" i="26"/>
  <c r="L87" i="26"/>
  <c r="S117" i="26"/>
  <c r="BI81" i="26"/>
  <c r="BB128" i="26"/>
  <c r="BB48" i="26"/>
  <c r="L78" i="26"/>
  <c r="S108" i="26"/>
  <c r="Z133" i="26"/>
  <c r="BB99" i="26"/>
  <c r="L125" i="26"/>
  <c r="AG118" i="26"/>
  <c r="AG54" i="26"/>
  <c r="BI84" i="26"/>
  <c r="Z114" i="26"/>
  <c r="Z50" i="26"/>
  <c r="AN77" i="26"/>
  <c r="AG105" i="26"/>
  <c r="BI129" i="26"/>
  <c r="BI71" i="26"/>
  <c r="Z101" i="26"/>
  <c r="AN129" i="26"/>
  <c r="AN68" i="26"/>
  <c r="AG133" i="26"/>
  <c r="AG72" i="26"/>
  <c r="BI102" i="26"/>
  <c r="Z127" i="26"/>
  <c r="Z68" i="26"/>
  <c r="AN99" i="26"/>
  <c r="BB124" i="26"/>
  <c r="BI101" i="26"/>
  <c r="BB130" i="26"/>
  <c r="BB53" i="26"/>
  <c r="L83" i="26"/>
  <c r="S113" i="26"/>
  <c r="BI65" i="26"/>
  <c r="BB116" i="26"/>
  <c r="BB44" i="26"/>
  <c r="L74" i="26"/>
  <c r="S104" i="26"/>
  <c r="Z107" i="26"/>
  <c r="BB95" i="26"/>
  <c r="L130" i="26"/>
  <c r="BI64" i="26"/>
  <c r="AG85" i="26"/>
  <c r="AN112" i="26"/>
  <c r="BI82" i="26"/>
  <c r="BB109" i="26"/>
  <c r="L63" i="26"/>
  <c r="AG82" i="26"/>
  <c r="AN105" i="26"/>
  <c r="Z124" i="26"/>
  <c r="AG100" i="26"/>
  <c r="AN123" i="26"/>
  <c r="BB81" i="26"/>
  <c r="AN114" i="26"/>
  <c r="BI127" i="26"/>
  <c r="L77" i="26"/>
  <c r="S107" i="26"/>
  <c r="AU135" i="26"/>
  <c r="AU72" i="26"/>
  <c r="BI121" i="26"/>
  <c r="S118" i="26"/>
  <c r="AU109" i="26"/>
  <c r="Z11" i="26"/>
  <c r="L19" i="26"/>
  <c r="L27" i="26"/>
  <c r="L35" i="26"/>
  <c r="L43" i="26"/>
  <c r="L100" i="26"/>
  <c r="AU136" i="26"/>
  <c r="AU49" i="26"/>
  <c r="AN16" i="26"/>
  <c r="AN24" i="26"/>
  <c r="AG110" i="26"/>
  <c r="AG46" i="26"/>
  <c r="BI76" i="26"/>
  <c r="Z106" i="26"/>
  <c r="AN133" i="26"/>
  <c r="AN69" i="26"/>
  <c r="AG97" i="26"/>
  <c r="BI135" i="26"/>
  <c r="BI63" i="26"/>
  <c r="Z93" i="26"/>
  <c r="AN130" i="26"/>
  <c r="AN60" i="26"/>
  <c r="AG123" i="26"/>
  <c r="AG64" i="26"/>
  <c r="BI94" i="26"/>
  <c r="Z128" i="26"/>
  <c r="Z60" i="26"/>
  <c r="AN91" i="26"/>
  <c r="BB133" i="26"/>
  <c r="BI69" i="26"/>
  <c r="BB119" i="26"/>
  <c r="BB45" i="26"/>
  <c r="L75" i="26"/>
  <c r="S105" i="26"/>
  <c r="Z122" i="26"/>
  <c r="BB100" i="26"/>
  <c r="L126" i="26"/>
  <c r="L66" i="26"/>
  <c r="S96" i="26"/>
  <c r="Z75" i="26"/>
  <c r="BB87" i="26"/>
  <c r="L117" i="26"/>
  <c r="AG106" i="26"/>
  <c r="BI133" i="26"/>
  <c r="BI72" i="26"/>
  <c r="Z102" i="26"/>
  <c r="AN125" i="26"/>
  <c r="AN65" i="26"/>
  <c r="AG93" i="26"/>
  <c r="BI120" i="26"/>
  <c r="BI59" i="26"/>
  <c r="Z89" i="26"/>
  <c r="AN120" i="26"/>
  <c r="AN56" i="26"/>
  <c r="AG136" i="26"/>
  <c r="AG60" i="26"/>
  <c r="BI90" i="26"/>
  <c r="Z120" i="26"/>
  <c r="Z90" i="26"/>
  <c r="BI111" i="26"/>
  <c r="AN44" i="26"/>
  <c r="Z108" i="26"/>
  <c r="Z99" i="26"/>
  <c r="AG126" i="26"/>
  <c r="L50" i="26"/>
  <c r="L101" i="26"/>
  <c r="Z86" i="26"/>
  <c r="BI107" i="26"/>
  <c r="BB135" i="26"/>
  <c r="Z104" i="26"/>
  <c r="AN71" i="26"/>
  <c r="Z83" i="26"/>
  <c r="L119" i="26"/>
  <c r="AG115" i="26"/>
  <c r="BB80" i="26"/>
  <c r="L46" i="26"/>
  <c r="AN94" i="26"/>
  <c r="L97" i="26"/>
  <c r="BI116" i="26"/>
  <c r="Z82" i="26"/>
  <c r="AN45" i="26"/>
  <c r="BI103" i="26"/>
  <c r="Z69" i="26"/>
  <c r="BB125" i="26"/>
  <c r="BI134" i="26"/>
  <c r="Z100" i="26"/>
  <c r="AN67" i="26"/>
  <c r="Z67" i="26"/>
  <c r="L115" i="26"/>
  <c r="AG99" i="26"/>
  <c r="BB76" i="26"/>
  <c r="S135" i="26"/>
  <c r="AN78" i="26"/>
  <c r="AG98" i="26"/>
  <c r="BI51" i="26"/>
  <c r="Z48" i="26"/>
  <c r="Z79" i="26"/>
  <c r="AG69" i="26"/>
  <c r="BI66" i="26"/>
  <c r="L47" i="26"/>
  <c r="BB59" i="26"/>
  <c r="S75" i="26"/>
  <c r="BI8" i="26"/>
  <c r="AG94" i="26"/>
  <c r="AN117" i="26"/>
  <c r="BI47" i="26"/>
  <c r="AG112" i="26"/>
  <c r="Z44" i="26"/>
  <c r="BB93" i="26"/>
  <c r="Z63" i="26"/>
  <c r="AG79" i="26"/>
  <c r="AG90" i="26"/>
  <c r="AN113" i="26"/>
  <c r="BI43" i="26"/>
  <c r="AG108" i="26"/>
  <c r="Z56" i="26"/>
  <c r="BB117" i="26"/>
  <c r="BB111" i="26"/>
  <c r="L71" i="26"/>
  <c r="Z111" i="26"/>
  <c r="L134" i="26"/>
  <c r="AG122" i="26"/>
  <c r="BB83" i="26"/>
  <c r="AG102" i="26"/>
  <c r="BI68" i="26"/>
  <c r="AN134" i="26"/>
  <c r="AG89" i="26"/>
  <c r="BI55" i="26"/>
  <c r="AN116" i="26"/>
  <c r="AG120" i="26"/>
  <c r="BI86" i="26"/>
  <c r="Z52" i="26"/>
  <c r="BB113" i="26"/>
  <c r="BB103" i="26"/>
  <c r="L67" i="26"/>
  <c r="Z95" i="26"/>
  <c r="L121" i="26"/>
  <c r="AG111" i="26"/>
  <c r="BB79" i="26"/>
  <c r="Z94" i="26"/>
  <c r="AN48" i="26"/>
  <c r="Z115" i="26"/>
  <c r="BI112" i="26"/>
  <c r="Z65" i="26"/>
  <c r="AN63" i="26"/>
  <c r="BB72" i="26"/>
  <c r="L61" i="26"/>
  <c r="AU120" i="26"/>
  <c r="AN58" i="26"/>
  <c r="AU87" i="26"/>
  <c r="Z21" i="26"/>
  <c r="Z37" i="26"/>
  <c r="S126" i="26"/>
  <c r="Z10" i="26"/>
  <c r="BB26" i="26"/>
  <c r="AN36" i="26"/>
  <c r="Z103" i="26"/>
  <c r="Z119" i="26"/>
  <c r="S94" i="26"/>
  <c r="AU101" i="26"/>
  <c r="AU12" i="26"/>
  <c r="AU20" i="26"/>
  <c r="Z136" i="26"/>
  <c r="AG53" i="26"/>
  <c r="AN80" i="26"/>
  <c r="BI50" i="26"/>
  <c r="AG55" i="26"/>
  <c r="S133" i="26"/>
  <c r="L86" i="26"/>
  <c r="BB43" i="26"/>
  <c r="S131" i="26"/>
  <c r="S71" i="26"/>
  <c r="AU100" i="26"/>
  <c r="Z9" i="26"/>
  <c r="Z110" i="26"/>
  <c r="BI125" i="26"/>
  <c r="AN64" i="26"/>
  <c r="Z123" i="26"/>
  <c r="BI85" i="26"/>
  <c r="S109" i="26"/>
  <c r="L70" i="26"/>
  <c r="L122" i="26"/>
  <c r="S127" i="26"/>
  <c r="S67" i="26"/>
  <c r="AU96" i="26"/>
  <c r="BB9" i="26"/>
  <c r="L120" i="26"/>
  <c r="S48" i="26"/>
  <c r="AU55" i="26"/>
  <c r="AG16" i="26"/>
  <c r="AG24" i="26"/>
  <c r="AG32" i="26"/>
  <c r="AG40" i="26"/>
  <c r="BB104" i="26"/>
  <c r="S73" i="26"/>
  <c r="AU81" i="26"/>
  <c r="BI13" i="26"/>
  <c r="BI21" i="26"/>
  <c r="BI29" i="26"/>
  <c r="BI37" i="26"/>
  <c r="BB78" i="26"/>
  <c r="AN90" i="26"/>
  <c r="S82" i="26"/>
  <c r="AU90" i="26"/>
  <c r="AN13" i="26"/>
  <c r="AN21" i="26"/>
  <c r="S79" i="26"/>
  <c r="L136" i="26"/>
  <c r="AU61" i="26"/>
  <c r="AN23" i="26"/>
  <c r="AN39" i="26"/>
  <c r="AU125" i="26"/>
  <c r="AG33" i="26"/>
  <c r="AU95" i="26"/>
  <c r="BB31" i="26"/>
  <c r="S70" i="26"/>
  <c r="AU57" i="26"/>
  <c r="AU29" i="26"/>
  <c r="L105" i="26"/>
  <c r="S10" i="26"/>
  <c r="AU131" i="26"/>
  <c r="BI16" i="26"/>
  <c r="BI32" i="26"/>
  <c r="BB86" i="26"/>
  <c r="AU75" i="26"/>
  <c r="Z22" i="26"/>
  <c r="Z38" i="26"/>
  <c r="BB123" i="26"/>
  <c r="AU85" i="26"/>
  <c r="AG22" i="26"/>
  <c r="BI60" i="26"/>
  <c r="AN108" i="26"/>
  <c r="BB105" i="26"/>
  <c r="L114" i="26"/>
  <c r="BI56" i="26"/>
  <c r="AN104" i="26"/>
  <c r="AN87" i="26"/>
  <c r="L132" i="26"/>
  <c r="BB96" i="26"/>
  <c r="Z59" i="26"/>
  <c r="BI126" i="26"/>
  <c r="AN61" i="26"/>
  <c r="Z85" i="26"/>
  <c r="AG56" i="26"/>
  <c r="AN83" i="26"/>
  <c r="L127" i="26"/>
  <c r="BB92" i="26"/>
  <c r="Z43" i="26"/>
  <c r="BI115" i="26"/>
  <c r="S93" i="26"/>
  <c r="BI124" i="26"/>
  <c r="AN62" i="26"/>
  <c r="AU56" i="26"/>
  <c r="AU66" i="26"/>
  <c r="Z29" i="26"/>
  <c r="AN106" i="26"/>
  <c r="AN12" i="26"/>
  <c r="AN32" i="26"/>
  <c r="BB42" i="26"/>
  <c r="BB98" i="26"/>
  <c r="S50" i="26"/>
  <c r="BI9" i="26"/>
  <c r="AG125" i="26"/>
  <c r="AN89" i="26"/>
  <c r="Z49" i="26"/>
  <c r="Z80" i="26"/>
  <c r="BB65" i="26"/>
  <c r="BB56" i="26"/>
  <c r="L89" i="26"/>
  <c r="S103" i="26"/>
  <c r="AU116" i="26"/>
  <c r="AG114" i="26"/>
  <c r="AN73" i="26"/>
  <c r="AN124" i="26"/>
  <c r="Z64" i="26"/>
  <c r="BB49" i="26"/>
  <c r="L128" i="26"/>
  <c r="L85" i="26"/>
  <c r="S99" i="26"/>
  <c r="AU112" i="26"/>
  <c r="AN11" i="26"/>
  <c r="S90" i="26"/>
  <c r="AU77" i="26"/>
  <c r="S18" i="26"/>
  <c r="AG28" i="26"/>
  <c r="S38" i="26"/>
  <c r="L129" i="26"/>
  <c r="AU134" i="26"/>
  <c r="AG11" i="26"/>
  <c r="AU23" i="26"/>
  <c r="BI33" i="26"/>
  <c r="AG107" i="26"/>
  <c r="BB66" i="26"/>
  <c r="AU132" i="26"/>
  <c r="AU11" i="26"/>
  <c r="L118" i="26"/>
  <c r="AU44" i="26"/>
  <c r="AU103" i="26"/>
  <c r="AN27" i="26"/>
  <c r="BB134" i="26"/>
  <c r="AG25" i="26"/>
  <c r="L13" i="26"/>
  <c r="BB39" i="26"/>
  <c r="AG39" i="26"/>
  <c r="AU89" i="26"/>
  <c r="S63" i="26"/>
  <c r="S85" i="26"/>
  <c r="BI20" i="26"/>
  <c r="BI40" i="26"/>
  <c r="AU118" i="26"/>
  <c r="Z26" i="26"/>
  <c r="L135" i="26"/>
  <c r="AU123" i="26"/>
  <c r="S24" i="26"/>
  <c r="S32" i="26"/>
  <c r="S40" i="26"/>
  <c r="S60" i="26"/>
  <c r="S25" i="26"/>
  <c r="AN18" i="26"/>
  <c r="AU51" i="26"/>
  <c r="Z40" i="26"/>
  <c r="BI31" i="26"/>
  <c r="S23" i="26"/>
  <c r="AG121" i="26"/>
  <c r="Z15" i="26"/>
  <c r="AU32" i="26"/>
  <c r="S44" i="26"/>
  <c r="S11" i="26"/>
  <c r="S33" i="26"/>
  <c r="AG95" i="26"/>
  <c r="AU76" i="26"/>
  <c r="S74" i="26"/>
  <c r="BB13" i="26"/>
  <c r="BB29" i="26"/>
  <c r="BI105" i="26"/>
  <c r="BI10" i="26"/>
  <c r="L60" i="26"/>
  <c r="BI22" i="26"/>
  <c r="BI38" i="26"/>
  <c r="BB28" i="26"/>
  <c r="AG9" i="26"/>
  <c r="AU33" i="26"/>
  <c r="AU129" i="26"/>
  <c r="S136" i="26"/>
  <c r="BB10" i="26"/>
  <c r="AU26" i="26"/>
  <c r="AU42" i="26"/>
  <c r="S46" i="26"/>
  <c r="L16" i="26"/>
  <c r="L32" i="26"/>
  <c r="S92" i="26"/>
  <c r="S56" i="26"/>
  <c r="S16" i="26"/>
  <c r="Z27" i="26"/>
  <c r="Z35" i="26"/>
  <c r="BI73" i="26"/>
  <c r="AU83" i="26"/>
  <c r="AG81" i="26"/>
  <c r="BI78" i="26"/>
  <c r="L59" i="26"/>
  <c r="BB71" i="26"/>
  <c r="AG77" i="26"/>
  <c r="BI74" i="26"/>
  <c r="BI53" i="26"/>
  <c r="S101" i="26"/>
  <c r="L62" i="26"/>
  <c r="L113" i="26"/>
  <c r="Z98" i="26"/>
  <c r="BI119" i="26"/>
  <c r="AN52" i="26"/>
  <c r="Z116" i="26"/>
  <c r="Z126" i="26"/>
  <c r="S97" i="26"/>
  <c r="L58" i="26"/>
  <c r="L109" i="26"/>
  <c r="Z112" i="26"/>
  <c r="AG130" i="26"/>
  <c r="L111" i="26"/>
  <c r="S91" i="26"/>
  <c r="S80" i="26"/>
  <c r="L15" i="26"/>
  <c r="L39" i="26"/>
  <c r="AU113" i="26"/>
  <c r="AN20" i="26"/>
  <c r="BB38" i="26"/>
  <c r="S81" i="26"/>
  <c r="L64" i="26"/>
  <c r="AU79" i="26"/>
  <c r="AU16" i="26"/>
  <c r="BI96" i="26"/>
  <c r="BI83" i="26"/>
  <c r="AG84" i="26"/>
  <c r="AN47" i="26"/>
  <c r="BI113" i="26"/>
  <c r="BI61" i="26"/>
  <c r="L57" i="26"/>
  <c r="S55" i="26"/>
  <c r="AU68" i="26"/>
  <c r="BI80" i="26"/>
  <c r="BI67" i="26"/>
  <c r="AG68" i="26"/>
  <c r="BB132" i="26"/>
  <c r="BI49" i="26"/>
  <c r="Z91" i="26"/>
  <c r="L53" i="26"/>
  <c r="S51" i="26"/>
  <c r="AU64" i="26"/>
  <c r="BB90" i="26"/>
  <c r="AU119" i="26"/>
  <c r="AG12" i="26"/>
  <c r="S22" i="26"/>
  <c r="S34" i="26"/>
  <c r="S76" i="26"/>
  <c r="S98" i="26"/>
  <c r="AU59" i="26"/>
  <c r="BI17" i="26"/>
  <c r="AU27" i="26"/>
  <c r="AU39" i="26"/>
  <c r="S54" i="26"/>
  <c r="S122" i="26"/>
  <c r="AU69" i="26"/>
  <c r="AN17" i="26"/>
  <c r="L49" i="26"/>
  <c r="S102" i="26"/>
  <c r="AN15" i="26"/>
  <c r="AN35" i="26"/>
  <c r="AU43" i="26"/>
  <c r="Z55" i="26"/>
  <c r="BB27" i="26"/>
  <c r="AU62" i="26"/>
  <c r="BI39" i="26"/>
  <c r="L54" i="26"/>
  <c r="AN131" i="26"/>
  <c r="AU50" i="26"/>
  <c r="BI28" i="26"/>
  <c r="L52" i="26"/>
  <c r="Z14" i="26"/>
  <c r="Z34" i="26"/>
  <c r="L80" i="26"/>
  <c r="AG14" i="26"/>
  <c r="S28" i="26"/>
  <c r="S36" i="26"/>
  <c r="BB94" i="26"/>
  <c r="AN10" i="26"/>
  <c r="S41" i="26"/>
  <c r="AN34" i="26"/>
  <c r="Z24" i="26"/>
  <c r="BI15" i="26"/>
  <c r="AU65" i="26"/>
  <c r="S39" i="26"/>
  <c r="S66" i="26"/>
  <c r="AU24" i="26"/>
  <c r="AU40" i="26"/>
  <c r="BI19" i="26"/>
  <c r="AU115" i="26"/>
  <c r="AN26" i="26"/>
  <c r="S111" i="26"/>
  <c r="BB112" i="26"/>
  <c r="AU82" i="26"/>
  <c r="BB21" i="26"/>
  <c r="BB37" i="26"/>
  <c r="S57" i="26"/>
  <c r="S27" i="26"/>
  <c r="AU117" i="26"/>
  <c r="BI30" i="26"/>
  <c r="S106" i="26"/>
  <c r="Z20" i="26"/>
  <c r="L42" i="26"/>
  <c r="L65" i="26"/>
  <c r="AG91" i="26"/>
  <c r="AU114" i="26"/>
  <c r="AU18" i="26"/>
  <c r="AU34" i="26"/>
  <c r="L116" i="26"/>
  <c r="AU54" i="26"/>
  <c r="L24" i="26"/>
  <c r="L40" i="26"/>
  <c r="BB50" i="26"/>
  <c r="AU63" i="26"/>
  <c r="Z23" i="26"/>
  <c r="Z31" i="26"/>
  <c r="Z39" i="26"/>
  <c r="S86" i="26"/>
  <c r="AU21" i="26"/>
  <c r="S13" i="26"/>
  <c r="AU94" i="26"/>
  <c r="BB36" i="26"/>
  <c r="Z28" i="26"/>
  <c r="AG13" i="26"/>
  <c r="AG41" i="26"/>
  <c r="AU53" i="26"/>
  <c r="AN29" i="26"/>
  <c r="L76" i="26"/>
  <c r="BB16" i="26"/>
  <c r="AN38" i="26"/>
  <c r="BI136" i="26"/>
  <c r="Z77" i="26"/>
  <c r="AN75" i="26"/>
  <c r="BB84" i="26"/>
  <c r="BI128" i="26"/>
  <c r="Z73" i="26"/>
  <c r="AN132" i="26"/>
  <c r="BB89" i="26"/>
  <c r="Z47" i="26"/>
  <c r="AG63" i="26"/>
  <c r="AG86" i="26"/>
  <c r="AN109" i="26"/>
  <c r="Z131" i="26"/>
  <c r="AG104" i="26"/>
  <c r="AN127" i="26"/>
  <c r="BB85" i="26"/>
  <c r="AN126" i="26"/>
  <c r="AG47" i="26"/>
  <c r="AN121" i="26"/>
  <c r="BB97" i="26"/>
  <c r="AN96" i="26"/>
  <c r="L102" i="26"/>
  <c r="AU104" i="26"/>
  <c r="S58" i="26"/>
  <c r="L23" i="26"/>
  <c r="AG75" i="26"/>
  <c r="AU91" i="26"/>
  <c r="AN28" i="26"/>
  <c r="AN40" i="26"/>
  <c r="AU121" i="26"/>
  <c r="S72" i="26"/>
  <c r="AU58" i="26"/>
  <c r="BI18" i="26"/>
  <c r="Z62" i="26"/>
  <c r="Z113" i="26"/>
  <c r="BI114" i="26"/>
  <c r="AN86" i="26"/>
  <c r="AN50" i="26"/>
  <c r="BB115" i="26"/>
  <c r="BB101" i="26"/>
  <c r="AU84" i="26"/>
  <c r="Z87" i="26"/>
  <c r="S30" i="26"/>
  <c r="AU15" i="26"/>
  <c r="BB15" i="26"/>
  <c r="AN31" i="26"/>
  <c r="AN74" i="26"/>
  <c r="AU93" i="26"/>
  <c r="Z30" i="26"/>
  <c r="AG34" i="26"/>
  <c r="AU67" i="26"/>
  <c r="Z19" i="26"/>
  <c r="AU46" i="26"/>
  <c r="BB17" i="26"/>
  <c r="BI42" i="26"/>
  <c r="AU14" i="26"/>
  <c r="L20" i="26"/>
  <c r="AN14" i="26"/>
  <c r="AG21" i="26"/>
  <c r="AN42" i="26"/>
  <c r="AN110" i="26"/>
  <c r="L55" i="26"/>
  <c r="AG73" i="26"/>
  <c r="L51" i="26"/>
  <c r="BI48" i="26"/>
  <c r="Z13" i="26"/>
  <c r="BB34" i="26"/>
  <c r="BI14" i="26"/>
  <c r="AN111" i="26"/>
  <c r="S119" i="26"/>
  <c r="AU52" i="26"/>
  <c r="Z97" i="26"/>
  <c r="BB122" i="26"/>
  <c r="BB91" i="26"/>
  <c r="AU124" i="26"/>
  <c r="L56" i="26"/>
  <c r="S14" i="26"/>
  <c r="AG36" i="26"/>
  <c r="S52" i="26"/>
  <c r="AU19" i="26"/>
  <c r="BI41" i="26"/>
  <c r="S61" i="26"/>
  <c r="BB19" i="26"/>
  <c r="S53" i="26"/>
  <c r="BB46" i="26"/>
  <c r="S88" i="26"/>
  <c r="AG23" i="26"/>
  <c r="S123" i="26"/>
  <c r="BI12" i="26"/>
  <c r="S68" i="26"/>
  <c r="Z42" i="26"/>
  <c r="AG18" i="26"/>
  <c r="AG38" i="26"/>
  <c r="L18" i="26"/>
  <c r="AU41" i="26"/>
  <c r="BB24" i="26"/>
  <c r="S43" i="26"/>
  <c r="AU28" i="26"/>
  <c r="BI35" i="26"/>
  <c r="BB40" i="26"/>
  <c r="L72" i="26"/>
  <c r="BB25" i="26"/>
  <c r="AU107" i="26"/>
  <c r="AG10" i="26"/>
  <c r="AU105" i="26"/>
  <c r="AU17" i="26"/>
  <c r="BB74" i="26"/>
  <c r="AU22" i="26"/>
  <c r="S89" i="26"/>
  <c r="L28" i="26"/>
  <c r="S110" i="26"/>
  <c r="L25" i="26"/>
  <c r="L41" i="26"/>
  <c r="AN30" i="26"/>
  <c r="S29" i="26"/>
  <c r="BI27" i="26"/>
  <c r="S37" i="26"/>
  <c r="AG29" i="26"/>
  <c r="S45" i="26"/>
  <c r="AN33" i="26"/>
  <c r="Z16" i="26"/>
  <c r="AN22" i="26"/>
  <c r="AU60" i="26"/>
  <c r="BI89" i="26"/>
  <c r="L37" i="26"/>
  <c r="BB20" i="26"/>
  <c r="L112" i="26"/>
  <c r="AU73" i="26"/>
  <c r="AN53" i="26"/>
  <c r="AN49" i="26"/>
  <c r="L110" i="26"/>
  <c r="AN100" i="26"/>
  <c r="L106" i="26"/>
  <c r="AG119" i="26"/>
  <c r="L31" i="26"/>
  <c r="L92" i="26"/>
  <c r="AG66" i="26"/>
  <c r="L95" i="26"/>
  <c r="S87" i="26"/>
  <c r="AG50" i="26"/>
  <c r="AG127" i="26"/>
  <c r="L79" i="26"/>
  <c r="L69" i="26"/>
  <c r="AU80" i="26"/>
  <c r="S69" i="26"/>
  <c r="AG20" i="26"/>
  <c r="S42" i="26"/>
  <c r="AU102" i="26"/>
  <c r="BI25" i="26"/>
  <c r="S130" i="26"/>
  <c r="AU111" i="26"/>
  <c r="BB75" i="26"/>
  <c r="BI11" i="26"/>
  <c r="L84" i="26"/>
  <c r="BB23" i="26"/>
  <c r="BI23" i="26"/>
  <c r="AU92" i="26"/>
  <c r="BI24" i="26"/>
  <c r="AU9" i="26"/>
  <c r="AU127" i="26"/>
  <c r="AG26" i="26"/>
  <c r="AG42" i="26"/>
  <c r="L34" i="26"/>
  <c r="AG15" i="26"/>
  <c r="S114" i="26"/>
  <c r="L48" i="26"/>
  <c r="AU36" i="26"/>
  <c r="AG27" i="26"/>
  <c r="L81" i="26"/>
  <c r="AU133" i="26"/>
  <c r="BB33" i="26"/>
  <c r="S19" i="26"/>
  <c r="BI26" i="26"/>
  <c r="AU99" i="26"/>
  <c r="AN122" i="26"/>
  <c r="S64" i="26"/>
  <c r="AU30" i="26"/>
  <c r="AU97" i="26"/>
  <c r="L36" i="26"/>
  <c r="AU106" i="26"/>
  <c r="L29" i="26"/>
  <c r="L108" i="26"/>
  <c r="AU37" i="26"/>
  <c r="L38" i="26"/>
  <c r="AU110" i="26"/>
  <c r="S78" i="26"/>
  <c r="AG37" i="26"/>
  <c r="L17" i="26"/>
  <c r="AN37" i="26"/>
  <c r="Z32" i="26"/>
  <c r="L14" i="26"/>
  <c r="AG48" i="26"/>
  <c r="AG44" i="26"/>
  <c r="BB67" i="26"/>
  <c r="BI70" i="26"/>
  <c r="BB63" i="26"/>
  <c r="L45" i="26"/>
  <c r="S84" i="26"/>
  <c r="L124" i="26"/>
  <c r="AG117" i="26"/>
  <c r="S116" i="26"/>
  <c r="AU128" i="26"/>
  <c r="Z46" i="26"/>
  <c r="BI98" i="26"/>
  <c r="BB108" i="26"/>
  <c r="S115" i="26"/>
  <c r="AU48" i="26"/>
  <c r="AU98" i="26"/>
  <c r="S26" i="26"/>
  <c r="Z130" i="26"/>
  <c r="L9" i="26"/>
  <c r="AU31" i="26"/>
  <c r="AG59" i="26"/>
  <c r="AU47" i="26"/>
  <c r="AU108" i="26"/>
  <c r="AN19" i="26"/>
  <c r="AG17" i="26"/>
  <c r="BB35" i="26"/>
  <c r="AU13" i="26"/>
  <c r="L104" i="26"/>
  <c r="BI36" i="26"/>
  <c r="Z18" i="26"/>
  <c r="S77" i="26"/>
  <c r="AG30" i="26"/>
  <c r="L44" i="26"/>
  <c r="AG8" i="26"/>
  <c r="AG31" i="26"/>
  <c r="S15" i="26"/>
  <c r="AU74" i="26"/>
  <c r="BB62" i="26"/>
  <c r="S17" i="26"/>
  <c r="S47" i="26"/>
  <c r="AN9" i="26"/>
  <c r="BB41" i="26"/>
  <c r="S35" i="26"/>
  <c r="BI34" i="26"/>
  <c r="Z36" i="26"/>
  <c r="S95" i="26"/>
  <c r="AU71" i="26"/>
  <c r="AU38" i="26"/>
  <c r="L12" i="26"/>
  <c r="AG43" i="26"/>
  <c r="S12" i="26"/>
  <c r="L33" i="26"/>
  <c r="AU122" i="26"/>
  <c r="AU78" i="26"/>
  <c r="BB11" i="26"/>
  <c r="Z12" i="26"/>
  <c r="AU86" i="26"/>
  <c r="S65" i="26"/>
  <c r="L21" i="26"/>
  <c r="AN41" i="26"/>
  <c r="BB32" i="26"/>
  <c r="L30" i="26"/>
  <c r="L131" i="26"/>
  <c r="BI52" i="26"/>
  <c r="AG129" i="26"/>
  <c r="AG116" i="26"/>
  <c r="BB58" i="26"/>
  <c r="BB18" i="26"/>
  <c r="AU130" i="26"/>
  <c r="BB110" i="26"/>
  <c r="L73" i="26"/>
  <c r="AG101" i="26"/>
  <c r="AN95" i="26"/>
  <c r="S100" i="26"/>
  <c r="S83" i="26"/>
  <c r="L10" i="26"/>
  <c r="L68" i="26"/>
  <c r="AU35" i="26"/>
  <c r="L96" i="26"/>
  <c r="BI57" i="26"/>
  <c r="BB120" i="26"/>
  <c r="S21" i="26"/>
  <c r="S49" i="26"/>
  <c r="S9" i="26"/>
  <c r="AG35" i="26"/>
  <c r="AU25" i="26"/>
  <c r="S31" i="26"/>
  <c r="BB12" i="26"/>
  <c r="L11" i="26"/>
  <c r="BB54" i="26"/>
  <c r="BB82" i="26"/>
  <c r="L26" i="26"/>
  <c r="Z71" i="26"/>
  <c r="S20" i="26"/>
  <c r="L22" i="26"/>
  <c r="AG19" i="26"/>
  <c r="AN25" i="26"/>
  <c r="M139" i="27" l="1"/>
  <c r="AH8" i="26"/>
  <c r="AH9" i="26" s="1"/>
  <c r="AH10" i="26" s="1"/>
  <c r="AH11" i="26" s="1"/>
  <c r="AH12" i="26" s="1"/>
  <c r="AH13" i="26" s="1"/>
  <c r="AH14" i="26" s="1"/>
  <c r="AH15" i="26" s="1"/>
  <c r="AH16" i="26" s="1"/>
  <c r="AH17" i="26" s="1"/>
  <c r="AH18" i="26" s="1"/>
  <c r="AH19" i="26" s="1"/>
  <c r="AH20" i="26" s="1"/>
  <c r="AH21" i="26" s="1"/>
  <c r="AH22" i="26" s="1"/>
  <c r="AH23" i="26" s="1"/>
  <c r="AH24" i="26" s="1"/>
  <c r="AH25" i="26" s="1"/>
  <c r="AH26" i="26" s="1"/>
  <c r="AH27" i="26" s="1"/>
  <c r="AH28" i="26" s="1"/>
  <c r="AH29" i="26" s="1"/>
  <c r="AH30" i="26" s="1"/>
  <c r="AH31" i="26" s="1"/>
  <c r="AH32" i="26" s="1"/>
  <c r="AH33" i="26" s="1"/>
  <c r="AH34" i="26" s="1"/>
  <c r="AH35" i="26" s="1"/>
  <c r="AH36" i="26" s="1"/>
  <c r="AH37" i="26" s="1"/>
  <c r="AH38" i="26" s="1"/>
  <c r="AH39" i="26" s="1"/>
  <c r="AH40" i="26" s="1"/>
  <c r="AH41" i="26" s="1"/>
  <c r="AH42" i="26" s="1"/>
  <c r="AH43" i="26" s="1"/>
  <c r="AH44" i="26" s="1"/>
  <c r="AH45" i="26" s="1"/>
  <c r="AH46" i="26" s="1"/>
  <c r="AH47" i="26" s="1"/>
  <c r="AH48" i="26" s="1"/>
  <c r="AH49" i="26" s="1"/>
  <c r="AH50" i="26" s="1"/>
  <c r="AH51" i="26" s="1"/>
  <c r="AH52" i="26" s="1"/>
  <c r="AH53" i="26" s="1"/>
  <c r="AH54" i="26" s="1"/>
  <c r="AH55" i="26" s="1"/>
  <c r="AH56" i="26" s="1"/>
  <c r="AH57" i="26" s="1"/>
  <c r="AH58" i="26" s="1"/>
  <c r="AH59" i="26" s="1"/>
  <c r="AH60" i="26" s="1"/>
  <c r="AH61" i="26" s="1"/>
  <c r="AH62" i="26" s="1"/>
  <c r="AH63" i="26" s="1"/>
  <c r="AH64" i="26" s="1"/>
  <c r="AH65" i="26" s="1"/>
  <c r="AH66" i="26" s="1"/>
  <c r="AH67" i="26" s="1"/>
  <c r="AH68" i="26" s="1"/>
  <c r="AH69" i="26" s="1"/>
  <c r="AH70" i="26" s="1"/>
  <c r="AH71" i="26" s="1"/>
  <c r="AH72" i="26" s="1"/>
  <c r="AH73" i="26" s="1"/>
  <c r="AH74" i="26" s="1"/>
  <c r="AH75" i="26" s="1"/>
  <c r="AH76" i="26" s="1"/>
  <c r="AH77" i="26" s="1"/>
  <c r="AH78" i="26" s="1"/>
  <c r="AH79" i="26" s="1"/>
  <c r="AH80" i="26" s="1"/>
  <c r="AH81" i="26" s="1"/>
  <c r="AH82" i="26" s="1"/>
  <c r="AH83" i="26" s="1"/>
  <c r="AH84" i="26" s="1"/>
  <c r="AH85" i="26" s="1"/>
  <c r="AH86" i="26" s="1"/>
  <c r="AH87" i="26" s="1"/>
  <c r="AH88" i="26" s="1"/>
  <c r="AH89" i="26" s="1"/>
  <c r="AH90" i="26" s="1"/>
  <c r="AH91" i="26" s="1"/>
  <c r="AH92" i="26" s="1"/>
  <c r="AH93" i="26" s="1"/>
  <c r="AH94" i="26" s="1"/>
  <c r="AH95" i="26" s="1"/>
  <c r="AH96" i="26" s="1"/>
  <c r="AH97" i="26" s="1"/>
  <c r="AH98" i="26" s="1"/>
  <c r="AH99" i="26" s="1"/>
  <c r="AH100" i="26" s="1"/>
  <c r="AH101" i="26" s="1"/>
  <c r="AH102" i="26" s="1"/>
  <c r="AH103" i="26" s="1"/>
  <c r="AH104" i="26" s="1"/>
  <c r="AH105" i="26" s="1"/>
  <c r="AH106" i="26" s="1"/>
  <c r="AH107" i="26" s="1"/>
  <c r="AH108" i="26" s="1"/>
  <c r="AH109" i="26" s="1"/>
  <c r="AH110" i="26" s="1"/>
  <c r="AH111" i="26" s="1"/>
  <c r="AH112" i="26" s="1"/>
  <c r="AH113" i="26" s="1"/>
  <c r="AH114" i="26" s="1"/>
  <c r="AH115" i="26" s="1"/>
  <c r="AH116" i="26" s="1"/>
  <c r="AH117" i="26" s="1"/>
  <c r="AH118" i="26" s="1"/>
  <c r="AH119" i="26" s="1"/>
  <c r="AH120" i="26" s="1"/>
  <c r="AH121" i="26" s="1"/>
  <c r="AH122" i="26" s="1"/>
  <c r="AH123" i="26" s="1"/>
  <c r="AH124" i="26" s="1"/>
  <c r="AH125" i="26" s="1"/>
  <c r="AH126" i="26" s="1"/>
  <c r="AH127" i="26" s="1"/>
  <c r="AH128" i="26" s="1"/>
  <c r="AH129" i="26" s="1"/>
  <c r="AH130" i="26" s="1"/>
  <c r="AH131" i="26" s="1"/>
  <c r="AH132" i="26" s="1"/>
  <c r="AH133" i="26" s="1"/>
  <c r="AH134" i="26" s="1"/>
  <c r="AH135" i="26" s="1"/>
  <c r="AH136" i="26" s="1"/>
  <c r="AH137" i="26" s="1"/>
  <c r="AD5" i="26" s="1"/>
  <c r="T9" i="26"/>
  <c r="T10" i="26" s="1"/>
  <c r="T11" i="26" s="1"/>
  <c r="T12" i="26" s="1"/>
  <c r="T13" i="26" s="1"/>
  <c r="T14" i="26" s="1"/>
  <c r="T15" i="26" s="1"/>
  <c r="T16" i="26" s="1"/>
  <c r="T17" i="26" s="1"/>
  <c r="T18" i="26" s="1"/>
  <c r="T19" i="26" s="1"/>
  <c r="T20" i="26" s="1"/>
  <c r="T21" i="26" s="1"/>
  <c r="T22" i="26" s="1"/>
  <c r="T23" i="26" s="1"/>
  <c r="T24" i="26" s="1"/>
  <c r="T25" i="26" s="1"/>
  <c r="T26" i="26" s="1"/>
  <c r="T27" i="26" s="1"/>
  <c r="T28" i="26" s="1"/>
  <c r="T29" i="26" s="1"/>
  <c r="T30" i="26" s="1"/>
  <c r="T31" i="26" s="1"/>
  <c r="T32" i="26" s="1"/>
  <c r="T33" i="26" s="1"/>
  <c r="T34" i="26" s="1"/>
  <c r="T35" i="26" s="1"/>
  <c r="T36" i="26" s="1"/>
  <c r="T37" i="26" s="1"/>
  <c r="T38" i="26" s="1"/>
  <c r="T39" i="26" s="1"/>
  <c r="T40" i="26" s="1"/>
  <c r="T41" i="26" s="1"/>
  <c r="T42" i="26" s="1"/>
  <c r="T43" i="26" s="1"/>
  <c r="T44" i="26" s="1"/>
  <c r="T45" i="26" s="1"/>
  <c r="T46" i="26" s="1"/>
  <c r="T47" i="26" s="1"/>
  <c r="T48" i="26" s="1"/>
  <c r="T49" i="26" s="1"/>
  <c r="T50" i="26" s="1"/>
  <c r="T51" i="26" s="1"/>
  <c r="T52" i="26" s="1"/>
  <c r="T53" i="26" s="1"/>
  <c r="T54" i="26" s="1"/>
  <c r="T55" i="26" s="1"/>
  <c r="T56" i="26" s="1"/>
  <c r="T57" i="26" s="1"/>
  <c r="T58" i="26" s="1"/>
  <c r="T59" i="26" s="1"/>
  <c r="T60" i="26" s="1"/>
  <c r="T61" i="26" s="1"/>
  <c r="T62" i="26" s="1"/>
  <c r="T63" i="26" s="1"/>
  <c r="T64" i="26" s="1"/>
  <c r="T65" i="26" s="1"/>
  <c r="T66" i="26" s="1"/>
  <c r="T67" i="26" s="1"/>
  <c r="T68" i="26" s="1"/>
  <c r="T69" i="26" s="1"/>
  <c r="T70" i="26" s="1"/>
  <c r="T71" i="26" s="1"/>
  <c r="T72" i="26" s="1"/>
  <c r="T73" i="26" s="1"/>
  <c r="T74" i="26" s="1"/>
  <c r="T75" i="26" s="1"/>
  <c r="T76" i="26" s="1"/>
  <c r="T77" i="26" s="1"/>
  <c r="T78" i="26" s="1"/>
  <c r="T79" i="26" s="1"/>
  <c r="T80" i="26" s="1"/>
  <c r="T81" i="26" s="1"/>
  <c r="T82" i="26" s="1"/>
  <c r="T83" i="26" s="1"/>
  <c r="T84" i="26" s="1"/>
  <c r="T85" i="26" s="1"/>
  <c r="T86" i="26" s="1"/>
  <c r="T87" i="26" s="1"/>
  <c r="T88" i="26" s="1"/>
  <c r="T89" i="26" s="1"/>
  <c r="T90" i="26" s="1"/>
  <c r="T91" i="26" s="1"/>
  <c r="T92" i="26" s="1"/>
  <c r="T93" i="26" s="1"/>
  <c r="T94" i="26" s="1"/>
  <c r="T95" i="26" s="1"/>
  <c r="T96" i="26" s="1"/>
  <c r="T97" i="26" s="1"/>
  <c r="T98" i="26" s="1"/>
  <c r="T99" i="26" s="1"/>
  <c r="T100" i="26" s="1"/>
  <c r="T101" i="26" s="1"/>
  <c r="T102" i="26" s="1"/>
  <c r="T103" i="26" s="1"/>
  <c r="T104" i="26" s="1"/>
  <c r="T105" i="26" s="1"/>
  <c r="T106" i="26" s="1"/>
  <c r="T107" i="26" s="1"/>
  <c r="T108" i="26" s="1"/>
  <c r="T109" i="26" s="1"/>
  <c r="T110" i="26" s="1"/>
  <c r="T111" i="26" s="1"/>
  <c r="T112" i="26" s="1"/>
  <c r="T113" i="26" s="1"/>
  <c r="T114" i="26" s="1"/>
  <c r="T115" i="26" s="1"/>
  <c r="T116" i="26" s="1"/>
  <c r="T117" i="26" s="1"/>
  <c r="T118" i="26" s="1"/>
  <c r="T119" i="26" s="1"/>
  <c r="T120" i="26" s="1"/>
  <c r="T121" i="26" s="1"/>
  <c r="T122" i="26" s="1"/>
  <c r="T123" i="26" s="1"/>
  <c r="T124" i="26" s="1"/>
  <c r="T125" i="26" s="1"/>
  <c r="T126" i="26" s="1"/>
  <c r="T127" i="26" s="1"/>
  <c r="T128" i="26" s="1"/>
  <c r="T129" i="26" s="1"/>
  <c r="T130" i="26" s="1"/>
  <c r="T131" i="26" s="1"/>
  <c r="T132" i="26" s="1"/>
  <c r="T133" i="26" s="1"/>
  <c r="T134" i="26" s="1"/>
  <c r="T135" i="26" s="1"/>
  <c r="T136" i="26" s="1"/>
  <c r="T137" i="26" s="1"/>
  <c r="P5" i="26" s="1"/>
  <c r="AV9" i="26"/>
  <c r="AV10" i="26" s="1"/>
  <c r="AV11" i="26" s="1"/>
  <c r="AV12" i="26" s="1"/>
  <c r="AV13" i="26" s="1"/>
  <c r="AV14" i="26" s="1"/>
  <c r="AV15" i="26" s="1"/>
  <c r="AV16" i="26" s="1"/>
  <c r="AV17" i="26" s="1"/>
  <c r="AV18" i="26" s="1"/>
  <c r="AV19" i="26" s="1"/>
  <c r="AV20" i="26" s="1"/>
  <c r="AV21" i="26" s="1"/>
  <c r="AV22" i="26" s="1"/>
  <c r="AV23" i="26" s="1"/>
  <c r="AV24" i="26" s="1"/>
  <c r="AV25" i="26" s="1"/>
  <c r="AV26" i="26" s="1"/>
  <c r="AV27" i="26" s="1"/>
  <c r="AV28" i="26" s="1"/>
  <c r="AV29" i="26" s="1"/>
  <c r="AV30" i="26" s="1"/>
  <c r="AV31" i="26" s="1"/>
  <c r="AV32" i="26" s="1"/>
  <c r="AV33" i="26" s="1"/>
  <c r="AV34" i="26" s="1"/>
  <c r="AV35" i="26" s="1"/>
  <c r="AV36" i="26" s="1"/>
  <c r="AV37" i="26" s="1"/>
  <c r="AV38" i="26" s="1"/>
  <c r="AV39" i="26" s="1"/>
  <c r="AV40" i="26" s="1"/>
  <c r="AV41" i="26" s="1"/>
  <c r="AV42" i="26" s="1"/>
  <c r="AV43" i="26" s="1"/>
  <c r="AV44" i="26" s="1"/>
  <c r="AV45" i="26" s="1"/>
  <c r="AV46" i="26" s="1"/>
  <c r="AV47" i="26" s="1"/>
  <c r="AV48" i="26" s="1"/>
  <c r="AV49" i="26" s="1"/>
  <c r="AV50" i="26" s="1"/>
  <c r="AV51" i="26" s="1"/>
  <c r="AV52" i="26" s="1"/>
  <c r="AV53" i="26" s="1"/>
  <c r="AV54" i="26" s="1"/>
  <c r="AV55" i="26" s="1"/>
  <c r="AV56" i="26" s="1"/>
  <c r="AV57" i="26" s="1"/>
  <c r="AV58" i="26" s="1"/>
  <c r="AV59" i="26" s="1"/>
  <c r="AV60" i="26" s="1"/>
  <c r="AV61" i="26" s="1"/>
  <c r="AV62" i="26" s="1"/>
  <c r="AV63" i="26" s="1"/>
  <c r="AV64" i="26" s="1"/>
  <c r="AV65" i="26" s="1"/>
  <c r="AV66" i="26" s="1"/>
  <c r="AV67" i="26" s="1"/>
  <c r="AV68" i="26" s="1"/>
  <c r="AV69" i="26" s="1"/>
  <c r="AV70" i="26" s="1"/>
  <c r="AV71" i="26" s="1"/>
  <c r="AV72" i="26" s="1"/>
  <c r="AV73" i="26" s="1"/>
  <c r="AV74" i="26" s="1"/>
  <c r="AV75" i="26" s="1"/>
  <c r="AV76" i="26" s="1"/>
  <c r="AV77" i="26" s="1"/>
  <c r="AV78" i="26" s="1"/>
  <c r="AV79" i="26" s="1"/>
  <c r="AV80" i="26" s="1"/>
  <c r="AV81" i="26" s="1"/>
  <c r="AV82" i="26" s="1"/>
  <c r="AV83" i="26" s="1"/>
  <c r="AV84" i="26" s="1"/>
  <c r="AV85" i="26" s="1"/>
  <c r="AV86" i="26" s="1"/>
  <c r="AV87" i="26" s="1"/>
  <c r="AV88" i="26" s="1"/>
  <c r="AV89" i="26" s="1"/>
  <c r="AV90" i="26" s="1"/>
  <c r="AV91" i="26" s="1"/>
  <c r="AV92" i="26" s="1"/>
  <c r="AV93" i="26" s="1"/>
  <c r="AV94" i="26" s="1"/>
  <c r="AV95" i="26" s="1"/>
  <c r="AV96" i="26" s="1"/>
  <c r="AV97" i="26" s="1"/>
  <c r="AV98" i="26" s="1"/>
  <c r="AV99" i="26" s="1"/>
  <c r="AV100" i="26" s="1"/>
  <c r="AV101" i="26" s="1"/>
  <c r="AV102" i="26" s="1"/>
  <c r="AV103" i="26" s="1"/>
  <c r="AV104" i="26" s="1"/>
  <c r="AV105" i="26" s="1"/>
  <c r="AV106" i="26" s="1"/>
  <c r="AV107" i="26" s="1"/>
  <c r="AV108" i="26" s="1"/>
  <c r="AV109" i="26" s="1"/>
  <c r="AV110" i="26" s="1"/>
  <c r="AV111" i="26" s="1"/>
  <c r="AV112" i="26" s="1"/>
  <c r="AV113" i="26" s="1"/>
  <c r="AV114" i="26" s="1"/>
  <c r="AV115" i="26" s="1"/>
  <c r="AV116" i="26" s="1"/>
  <c r="AV117" i="26" s="1"/>
  <c r="AV118" i="26" s="1"/>
  <c r="AV119" i="26" s="1"/>
  <c r="AV120" i="26" s="1"/>
  <c r="AV121" i="26" s="1"/>
  <c r="AV122" i="26" s="1"/>
  <c r="AV123" i="26" s="1"/>
  <c r="AV124" i="26" s="1"/>
  <c r="AV125" i="26" s="1"/>
  <c r="AV126" i="26" s="1"/>
  <c r="AV127" i="26" s="1"/>
  <c r="AV128" i="26" s="1"/>
  <c r="AV129" i="26" s="1"/>
  <c r="AV130" i="26" s="1"/>
  <c r="AV131" i="26" s="1"/>
  <c r="AV132" i="26" s="1"/>
  <c r="AV133" i="26" s="1"/>
  <c r="AV134" i="26" s="1"/>
  <c r="AV135" i="26" s="1"/>
  <c r="AV136" i="26" s="1"/>
  <c r="AV137" i="26" s="1"/>
  <c r="AR5" i="26" s="1"/>
  <c r="M9" i="26"/>
  <c r="M10" i="26" s="1"/>
  <c r="M11" i="26" s="1"/>
  <c r="M12" i="26" s="1"/>
  <c r="M13" i="26" s="1"/>
  <c r="M14" i="26" s="1"/>
  <c r="M15" i="26" s="1"/>
  <c r="M16" i="26" s="1"/>
  <c r="M17" i="26" s="1"/>
  <c r="M18" i="26" s="1"/>
  <c r="M19" i="26" s="1"/>
  <c r="M20" i="26" s="1"/>
  <c r="M21" i="26" s="1"/>
  <c r="M22" i="26" s="1"/>
  <c r="M23" i="26" s="1"/>
  <c r="M24" i="26" s="1"/>
  <c r="M25" i="26" s="1"/>
  <c r="M26" i="26" s="1"/>
  <c r="M27" i="26" s="1"/>
  <c r="M28" i="26" s="1"/>
  <c r="M29" i="26" s="1"/>
  <c r="M30" i="26" s="1"/>
  <c r="M31" i="26" s="1"/>
  <c r="M32" i="26" s="1"/>
  <c r="M33" i="26" s="1"/>
  <c r="M34" i="26" s="1"/>
  <c r="M35" i="26" s="1"/>
  <c r="M36" i="26" s="1"/>
  <c r="M37" i="26" s="1"/>
  <c r="M38" i="26" s="1"/>
  <c r="M39" i="26" s="1"/>
  <c r="M40" i="26" s="1"/>
  <c r="M41" i="26" s="1"/>
  <c r="M42" i="26" s="1"/>
  <c r="M43" i="26" s="1"/>
  <c r="M44" i="26" s="1"/>
  <c r="M45" i="26" s="1"/>
  <c r="M46" i="26" s="1"/>
  <c r="M47" i="26" s="1"/>
  <c r="M48" i="26" s="1"/>
  <c r="M49" i="26" s="1"/>
  <c r="M50" i="26" s="1"/>
  <c r="M51" i="26" s="1"/>
  <c r="M52" i="26" s="1"/>
  <c r="M53" i="26" s="1"/>
  <c r="M54" i="26" s="1"/>
  <c r="M55" i="26" s="1"/>
  <c r="M56" i="26" s="1"/>
  <c r="M57" i="26" s="1"/>
  <c r="M58" i="26" s="1"/>
  <c r="M59" i="26" s="1"/>
  <c r="M60" i="26" s="1"/>
  <c r="M61" i="26" s="1"/>
  <c r="M62" i="26" s="1"/>
  <c r="M63" i="26" s="1"/>
  <c r="M64" i="26" s="1"/>
  <c r="M65" i="26" s="1"/>
  <c r="M66" i="26" s="1"/>
  <c r="M67" i="26" s="1"/>
  <c r="M68" i="26" s="1"/>
  <c r="M69" i="26" s="1"/>
  <c r="M70" i="26" s="1"/>
  <c r="M71" i="26" s="1"/>
  <c r="M72" i="26" s="1"/>
  <c r="M73" i="26" s="1"/>
  <c r="M74" i="26" s="1"/>
  <c r="M75" i="26" s="1"/>
  <c r="M76" i="26" s="1"/>
  <c r="M77" i="26" s="1"/>
  <c r="M78" i="26" s="1"/>
  <c r="M79" i="26" s="1"/>
  <c r="M80" i="26" s="1"/>
  <c r="M81" i="26" s="1"/>
  <c r="M82" i="26" s="1"/>
  <c r="M83" i="26" s="1"/>
  <c r="M84" i="26" s="1"/>
  <c r="M85" i="26" s="1"/>
  <c r="M86" i="26" s="1"/>
  <c r="M87" i="26" s="1"/>
  <c r="M88" i="26" s="1"/>
  <c r="M89" i="26" s="1"/>
  <c r="M90" i="26" s="1"/>
  <c r="M91" i="26" s="1"/>
  <c r="M92" i="26" s="1"/>
  <c r="M93" i="26" s="1"/>
  <c r="M94" i="26" s="1"/>
  <c r="M95" i="26" s="1"/>
  <c r="M96" i="26" s="1"/>
  <c r="M97" i="26" s="1"/>
  <c r="M98" i="26" s="1"/>
  <c r="M99" i="26" s="1"/>
  <c r="M100" i="26" s="1"/>
  <c r="M101" i="26" s="1"/>
  <c r="M102" i="26" s="1"/>
  <c r="M103" i="26" s="1"/>
  <c r="M104" i="26" s="1"/>
  <c r="M105" i="26" s="1"/>
  <c r="M106" i="26" s="1"/>
  <c r="M107" i="26" s="1"/>
  <c r="M108" i="26" s="1"/>
  <c r="M109" i="26" s="1"/>
  <c r="M110" i="26" s="1"/>
  <c r="M111" i="26" s="1"/>
  <c r="M112" i="26" s="1"/>
  <c r="M113" i="26" s="1"/>
  <c r="M114" i="26" s="1"/>
  <c r="M115" i="26" s="1"/>
  <c r="M116" i="26" s="1"/>
  <c r="M117" i="26" s="1"/>
  <c r="M118" i="26" s="1"/>
  <c r="M119" i="26" s="1"/>
  <c r="M120" i="26" s="1"/>
  <c r="M121" i="26" s="1"/>
  <c r="M122" i="26" s="1"/>
  <c r="M123" i="26" s="1"/>
  <c r="M124" i="26" s="1"/>
  <c r="M125" i="26" s="1"/>
  <c r="M126" i="26" s="1"/>
  <c r="M127" i="26" s="1"/>
  <c r="M128" i="26" s="1"/>
  <c r="M129" i="26" s="1"/>
  <c r="M130" i="26" s="1"/>
  <c r="M131" i="26" s="1"/>
  <c r="M132" i="26" s="1"/>
  <c r="M133" i="26" s="1"/>
  <c r="M134" i="26" s="1"/>
  <c r="M135" i="26" s="1"/>
  <c r="M136" i="26" s="1"/>
  <c r="M137" i="26" s="1"/>
  <c r="I5" i="26" s="1"/>
  <c r="AA9" i="26"/>
  <c r="AA10" i="26" s="1"/>
  <c r="AA11" i="26" s="1"/>
  <c r="AA12" i="26" s="1"/>
  <c r="AA13" i="26" s="1"/>
  <c r="AA14" i="26" s="1"/>
  <c r="AA15" i="26" s="1"/>
  <c r="AA16" i="26" s="1"/>
  <c r="AA17" i="26" s="1"/>
  <c r="AA18" i="26" s="1"/>
  <c r="AA19" i="26" s="1"/>
  <c r="AA20" i="26" s="1"/>
  <c r="AA21" i="26" s="1"/>
  <c r="AA22" i="26" s="1"/>
  <c r="AA23" i="26" s="1"/>
  <c r="AA24" i="26" s="1"/>
  <c r="AA25" i="26" s="1"/>
  <c r="AA26" i="26" s="1"/>
  <c r="AA27" i="26" s="1"/>
  <c r="AA28" i="26" s="1"/>
  <c r="AA29" i="26" s="1"/>
  <c r="AA30" i="26" s="1"/>
  <c r="AA31" i="26" s="1"/>
  <c r="AA32" i="26" s="1"/>
  <c r="AA33" i="26" s="1"/>
  <c r="AA34" i="26" s="1"/>
  <c r="AA35" i="26" s="1"/>
  <c r="AA36" i="26" s="1"/>
  <c r="AA37" i="26" s="1"/>
  <c r="AA38" i="26" s="1"/>
  <c r="AA39" i="26" s="1"/>
  <c r="AA40" i="26" s="1"/>
  <c r="AA41" i="26" s="1"/>
  <c r="AA42" i="26" s="1"/>
  <c r="AA43" i="26" s="1"/>
  <c r="AA44" i="26" s="1"/>
  <c r="AA45" i="26" s="1"/>
  <c r="AA46" i="26" s="1"/>
  <c r="AA47" i="26" s="1"/>
  <c r="AA48" i="26" s="1"/>
  <c r="AA49" i="26" s="1"/>
  <c r="AA50" i="26" s="1"/>
  <c r="AA51" i="26" s="1"/>
  <c r="AA52" i="26" s="1"/>
  <c r="AA53" i="26" s="1"/>
  <c r="AA54" i="26" s="1"/>
  <c r="AA55" i="26" s="1"/>
  <c r="AA56" i="26" s="1"/>
  <c r="AA57" i="26" s="1"/>
  <c r="AA58" i="26" s="1"/>
  <c r="AA59" i="26" s="1"/>
  <c r="AA60" i="26" s="1"/>
  <c r="AA61" i="26" s="1"/>
  <c r="AA62" i="26" s="1"/>
  <c r="AA63" i="26" s="1"/>
  <c r="AA64" i="26" s="1"/>
  <c r="AA65" i="26" s="1"/>
  <c r="AA66" i="26" s="1"/>
  <c r="AA67" i="26" s="1"/>
  <c r="AA68" i="26" s="1"/>
  <c r="AA69" i="26" s="1"/>
  <c r="AA70" i="26" s="1"/>
  <c r="AA71" i="26" s="1"/>
  <c r="AA72" i="26" s="1"/>
  <c r="AA73" i="26" s="1"/>
  <c r="AA74" i="26" s="1"/>
  <c r="AA75" i="26" s="1"/>
  <c r="AA76" i="26" s="1"/>
  <c r="AA77" i="26" s="1"/>
  <c r="AA78" i="26" s="1"/>
  <c r="AA79" i="26" s="1"/>
  <c r="AA80" i="26" s="1"/>
  <c r="AA81" i="26" s="1"/>
  <c r="AA82" i="26" s="1"/>
  <c r="AA83" i="26" s="1"/>
  <c r="AA84" i="26" s="1"/>
  <c r="AA85" i="26" s="1"/>
  <c r="AA86" i="26" s="1"/>
  <c r="AA87" i="26" s="1"/>
  <c r="AA88" i="26" s="1"/>
  <c r="AA89" i="26" s="1"/>
  <c r="AA90" i="26" s="1"/>
  <c r="AA91" i="26" s="1"/>
  <c r="AA92" i="26" s="1"/>
  <c r="AA93" i="26" s="1"/>
  <c r="AA94" i="26" s="1"/>
  <c r="AA95" i="26" s="1"/>
  <c r="AA96" i="26" s="1"/>
  <c r="AA97" i="26" s="1"/>
  <c r="AA98" i="26" s="1"/>
  <c r="AA99" i="26" s="1"/>
  <c r="AA100" i="26" s="1"/>
  <c r="AA101" i="26" s="1"/>
  <c r="AA102" i="26" s="1"/>
  <c r="AA103" i="26" s="1"/>
  <c r="AA104" i="26" s="1"/>
  <c r="AA105" i="26" s="1"/>
  <c r="AA106" i="26" s="1"/>
  <c r="AA107" i="26" s="1"/>
  <c r="AA108" i="26" s="1"/>
  <c r="AA109" i="26" s="1"/>
  <c r="AA110" i="26" s="1"/>
  <c r="AA111" i="26" s="1"/>
  <c r="AA112" i="26" s="1"/>
  <c r="AA113" i="26" s="1"/>
  <c r="AA114" i="26" s="1"/>
  <c r="AA115" i="26" s="1"/>
  <c r="AA116" i="26" s="1"/>
  <c r="AA117" i="26" s="1"/>
  <c r="AA118" i="26" s="1"/>
  <c r="AA119" i="26" s="1"/>
  <c r="AA120" i="26" s="1"/>
  <c r="AA121" i="26" s="1"/>
  <c r="AA122" i="26" s="1"/>
  <c r="AA123" i="26" s="1"/>
  <c r="AA124" i="26" s="1"/>
  <c r="AA125" i="26" s="1"/>
  <c r="AA126" i="26" s="1"/>
  <c r="AA127" i="26" s="1"/>
  <c r="AA128" i="26" s="1"/>
  <c r="AA129" i="26" s="1"/>
  <c r="AA130" i="26" s="1"/>
  <c r="AA131" i="26" s="1"/>
  <c r="AA132" i="26" s="1"/>
  <c r="AA133" i="26" s="1"/>
  <c r="AA134" i="26" s="1"/>
  <c r="AA135" i="26" s="1"/>
  <c r="AA136" i="26" s="1"/>
  <c r="AA137" i="26" s="1"/>
  <c r="W5" i="26" s="1"/>
  <c r="BJ8" i="26"/>
  <c r="BJ9" i="26" s="1"/>
  <c r="BJ10" i="26" s="1"/>
  <c r="BJ11" i="26" s="1"/>
  <c r="BJ12" i="26" s="1"/>
  <c r="BJ13" i="26" s="1"/>
  <c r="BJ14" i="26" s="1"/>
  <c r="BJ15" i="26" s="1"/>
  <c r="BJ16" i="26" s="1"/>
  <c r="BJ17" i="26" s="1"/>
  <c r="BJ18" i="26" s="1"/>
  <c r="BJ19" i="26" s="1"/>
  <c r="BJ20" i="26" s="1"/>
  <c r="BJ21" i="26" s="1"/>
  <c r="BJ22" i="26" s="1"/>
  <c r="BJ23" i="26" s="1"/>
  <c r="BJ24" i="26" s="1"/>
  <c r="BJ25" i="26" s="1"/>
  <c r="BJ26" i="26" s="1"/>
  <c r="BJ27" i="26" s="1"/>
  <c r="BJ28" i="26" s="1"/>
  <c r="BJ29" i="26" s="1"/>
  <c r="BJ30" i="26" s="1"/>
  <c r="BJ31" i="26" s="1"/>
  <c r="BJ32" i="26" s="1"/>
  <c r="BJ33" i="26" s="1"/>
  <c r="BJ34" i="26" s="1"/>
  <c r="BJ35" i="26" s="1"/>
  <c r="BJ36" i="26" s="1"/>
  <c r="BJ37" i="26" s="1"/>
  <c r="BJ38" i="26" s="1"/>
  <c r="BJ39" i="26" s="1"/>
  <c r="BJ40" i="26" s="1"/>
  <c r="BJ41" i="26" s="1"/>
  <c r="BJ42" i="26" s="1"/>
  <c r="BJ43" i="26" s="1"/>
  <c r="BJ44" i="26" s="1"/>
  <c r="BJ45" i="26" s="1"/>
  <c r="BJ46" i="26" s="1"/>
  <c r="BJ47" i="26" s="1"/>
  <c r="BJ48" i="26" s="1"/>
  <c r="BJ49" i="26" s="1"/>
  <c r="BJ50" i="26" s="1"/>
  <c r="BJ51" i="26" s="1"/>
  <c r="BJ52" i="26" s="1"/>
  <c r="BJ53" i="26" s="1"/>
  <c r="BJ54" i="26" s="1"/>
  <c r="BJ55" i="26" s="1"/>
  <c r="BJ56" i="26" s="1"/>
  <c r="BJ57" i="26" s="1"/>
  <c r="BJ58" i="26" s="1"/>
  <c r="BJ59" i="26" s="1"/>
  <c r="BJ60" i="26" s="1"/>
  <c r="BJ61" i="26" s="1"/>
  <c r="BJ62" i="26" s="1"/>
  <c r="BJ63" i="26" s="1"/>
  <c r="BJ64" i="26" s="1"/>
  <c r="BJ65" i="26" s="1"/>
  <c r="BJ66" i="26" s="1"/>
  <c r="BJ67" i="26" s="1"/>
  <c r="BJ68" i="26" s="1"/>
  <c r="BJ69" i="26" s="1"/>
  <c r="BJ70" i="26" s="1"/>
  <c r="BJ71" i="26" s="1"/>
  <c r="BJ72" i="26" s="1"/>
  <c r="BJ73" i="26" s="1"/>
  <c r="BJ74" i="26" s="1"/>
  <c r="BJ75" i="26" s="1"/>
  <c r="BJ76" i="26" s="1"/>
  <c r="BJ77" i="26" s="1"/>
  <c r="BJ78" i="26" s="1"/>
  <c r="BJ79" i="26" s="1"/>
  <c r="BJ80" i="26" s="1"/>
  <c r="BJ81" i="26" s="1"/>
  <c r="BJ82" i="26" s="1"/>
  <c r="BJ83" i="26" s="1"/>
  <c r="BJ84" i="26" s="1"/>
  <c r="BJ85" i="26" s="1"/>
  <c r="BJ86" i="26" s="1"/>
  <c r="BJ87" i="26" s="1"/>
  <c r="BJ88" i="26" s="1"/>
  <c r="BJ89" i="26" s="1"/>
  <c r="BJ90" i="26" s="1"/>
  <c r="BJ91" i="26" s="1"/>
  <c r="BJ92" i="26" s="1"/>
  <c r="BJ93" i="26" s="1"/>
  <c r="BJ94" i="26" s="1"/>
  <c r="BJ95" i="26" s="1"/>
  <c r="BJ96" i="26" s="1"/>
  <c r="BJ97" i="26" s="1"/>
  <c r="BJ98" i="26" s="1"/>
  <c r="BJ99" i="26" s="1"/>
  <c r="BJ100" i="26" s="1"/>
  <c r="BJ101" i="26" s="1"/>
  <c r="BJ102" i="26" s="1"/>
  <c r="BJ103" i="26" s="1"/>
  <c r="BJ104" i="26" s="1"/>
  <c r="BJ105" i="26" s="1"/>
  <c r="BJ106" i="26" s="1"/>
  <c r="BJ107" i="26" s="1"/>
  <c r="BJ108" i="26" s="1"/>
  <c r="BJ109" i="26" s="1"/>
  <c r="BJ110" i="26" s="1"/>
  <c r="BJ111" i="26" s="1"/>
  <c r="BJ112" i="26" s="1"/>
  <c r="BJ113" i="26" s="1"/>
  <c r="BJ114" i="26" s="1"/>
  <c r="BJ115" i="26" s="1"/>
  <c r="BJ116" i="26" s="1"/>
  <c r="BJ117" i="26" s="1"/>
  <c r="BJ118" i="26" s="1"/>
  <c r="BJ119" i="26" s="1"/>
  <c r="BJ120" i="26" s="1"/>
  <c r="BJ121" i="26" s="1"/>
  <c r="BJ122" i="26" s="1"/>
  <c r="BJ123" i="26" s="1"/>
  <c r="BJ124" i="26" s="1"/>
  <c r="BJ125" i="26" s="1"/>
  <c r="BJ126" i="26" s="1"/>
  <c r="BJ127" i="26" s="1"/>
  <c r="BJ128" i="26" s="1"/>
  <c r="BJ129" i="26" s="1"/>
  <c r="BJ130" i="26" s="1"/>
  <c r="BJ131" i="26" s="1"/>
  <c r="BJ132" i="26" s="1"/>
  <c r="BJ133" i="26" s="1"/>
  <c r="BJ134" i="26" s="1"/>
  <c r="BJ135" i="26" s="1"/>
  <c r="BJ136" i="26" s="1"/>
  <c r="BJ137" i="26" s="1"/>
  <c r="BF5" i="26" s="1"/>
  <c r="BC8" i="26"/>
  <c r="BC9" i="26" s="1"/>
  <c r="BC10" i="26" s="1"/>
  <c r="BC11" i="26" s="1"/>
  <c r="BC12" i="26" s="1"/>
  <c r="BC13" i="26" s="1"/>
  <c r="BC14" i="26" s="1"/>
  <c r="BC15" i="26" s="1"/>
  <c r="BC16" i="26" s="1"/>
  <c r="BC17" i="26" s="1"/>
  <c r="BC18" i="26" s="1"/>
  <c r="BC19" i="26" s="1"/>
  <c r="BC20" i="26" s="1"/>
  <c r="BC21" i="26" s="1"/>
  <c r="BC22" i="26" s="1"/>
  <c r="BC23" i="26" s="1"/>
  <c r="BC24" i="26" s="1"/>
  <c r="BC25" i="26" s="1"/>
  <c r="BC26" i="26" s="1"/>
  <c r="BC27" i="26" s="1"/>
  <c r="BC28" i="26" s="1"/>
  <c r="BC29" i="26" s="1"/>
  <c r="BC30" i="26" s="1"/>
  <c r="BC31" i="26" s="1"/>
  <c r="BC32" i="26" s="1"/>
  <c r="BC33" i="26" s="1"/>
  <c r="BC34" i="26" s="1"/>
  <c r="BC35" i="26" s="1"/>
  <c r="BC36" i="26" s="1"/>
  <c r="BC37" i="26" s="1"/>
  <c r="BC38" i="26" s="1"/>
  <c r="BC39" i="26" s="1"/>
  <c r="BC40" i="26" s="1"/>
  <c r="BC41" i="26" s="1"/>
  <c r="BC42" i="26" s="1"/>
  <c r="BC43" i="26" s="1"/>
  <c r="BC44" i="26" s="1"/>
  <c r="BC45" i="26" s="1"/>
  <c r="BC46" i="26" s="1"/>
  <c r="BC47" i="26" s="1"/>
  <c r="BC48" i="26" s="1"/>
  <c r="BC49" i="26" s="1"/>
  <c r="BC50" i="26" s="1"/>
  <c r="BC51" i="26" s="1"/>
  <c r="BC52" i="26" s="1"/>
  <c r="BC53" i="26" s="1"/>
  <c r="BC54" i="26" s="1"/>
  <c r="BC55" i="26" s="1"/>
  <c r="BC56" i="26" s="1"/>
  <c r="BC57" i="26" s="1"/>
  <c r="BC58" i="26" s="1"/>
  <c r="BC59" i="26" s="1"/>
  <c r="BC60" i="26" s="1"/>
  <c r="BC61" i="26" s="1"/>
  <c r="BC62" i="26" s="1"/>
  <c r="BC63" i="26" s="1"/>
  <c r="BC64" i="26" s="1"/>
  <c r="BC65" i="26" s="1"/>
  <c r="BC66" i="26" s="1"/>
  <c r="BC67" i="26" s="1"/>
  <c r="BC68" i="26" s="1"/>
  <c r="BC69" i="26" s="1"/>
  <c r="BC70" i="26" s="1"/>
  <c r="BC71" i="26" s="1"/>
  <c r="BC72" i="26" s="1"/>
  <c r="BC73" i="26" s="1"/>
  <c r="BC74" i="26" s="1"/>
  <c r="BC75" i="26" s="1"/>
  <c r="BC76" i="26" s="1"/>
  <c r="BC77" i="26" s="1"/>
  <c r="BC78" i="26" s="1"/>
  <c r="BC79" i="26" s="1"/>
  <c r="BC80" i="26" s="1"/>
  <c r="BC81" i="26" s="1"/>
  <c r="BC82" i="26" s="1"/>
  <c r="BC83" i="26" s="1"/>
  <c r="BC84" i="26" s="1"/>
  <c r="BC85" i="26" s="1"/>
  <c r="BC86" i="26" s="1"/>
  <c r="BC87" i="26" s="1"/>
  <c r="BC88" i="26" s="1"/>
  <c r="BC89" i="26" s="1"/>
  <c r="BC90" i="26" s="1"/>
  <c r="BC91" i="26" s="1"/>
  <c r="BC92" i="26" s="1"/>
  <c r="BC93" i="26" s="1"/>
  <c r="BC94" i="26" s="1"/>
  <c r="BC95" i="26" s="1"/>
  <c r="BC96" i="26" s="1"/>
  <c r="BC97" i="26" s="1"/>
  <c r="BC98" i="26" s="1"/>
  <c r="BC99" i="26" s="1"/>
  <c r="BC100" i="26" s="1"/>
  <c r="BC101" i="26" s="1"/>
  <c r="BC102" i="26" s="1"/>
  <c r="BC103" i="26" s="1"/>
  <c r="BC104" i="26" s="1"/>
  <c r="BC105" i="26" s="1"/>
  <c r="BC106" i="26" s="1"/>
  <c r="BC107" i="26" s="1"/>
  <c r="BC108" i="26" s="1"/>
  <c r="BC109" i="26" s="1"/>
  <c r="BC110" i="26" s="1"/>
  <c r="BC111" i="26" s="1"/>
  <c r="BC112" i="26" s="1"/>
  <c r="BC113" i="26" s="1"/>
  <c r="BC114" i="26" s="1"/>
  <c r="BC115" i="26" s="1"/>
  <c r="BC116" i="26" s="1"/>
  <c r="BC117" i="26" s="1"/>
  <c r="BC118" i="26" s="1"/>
  <c r="BC119" i="26" s="1"/>
  <c r="BC120" i="26" s="1"/>
  <c r="BC121" i="26" s="1"/>
  <c r="BC122" i="26" s="1"/>
  <c r="BC123" i="26" s="1"/>
  <c r="BC124" i="26" s="1"/>
  <c r="BC125" i="26" s="1"/>
  <c r="BC126" i="26" s="1"/>
  <c r="BC127" i="26" s="1"/>
  <c r="BC128" i="26" s="1"/>
  <c r="BC129" i="26" s="1"/>
  <c r="BC130" i="26" s="1"/>
  <c r="BC131" i="26" s="1"/>
  <c r="BC132" i="26" s="1"/>
  <c r="BC133" i="26" s="1"/>
  <c r="BC134" i="26" s="1"/>
  <c r="BC135" i="26" s="1"/>
  <c r="BC136" i="26" s="1"/>
  <c r="BC137" i="26" s="1"/>
  <c r="AY5" i="26" s="1"/>
  <c r="AO8" i="26"/>
  <c r="AO9" i="26" s="1"/>
  <c r="AO10" i="26" s="1"/>
  <c r="AO11" i="26" s="1"/>
  <c r="AO12" i="26" s="1"/>
  <c r="AO13" i="26" s="1"/>
  <c r="AO14" i="26" s="1"/>
  <c r="AO15" i="26" s="1"/>
  <c r="AO16" i="26" s="1"/>
  <c r="AO17" i="26" s="1"/>
  <c r="AO18" i="26" s="1"/>
  <c r="AO19" i="26" s="1"/>
  <c r="AO20" i="26" s="1"/>
  <c r="AO21" i="26" s="1"/>
  <c r="AO22" i="26" s="1"/>
  <c r="AO23" i="26" s="1"/>
  <c r="AO24" i="26" s="1"/>
  <c r="AO25" i="26" s="1"/>
  <c r="AO26" i="26" s="1"/>
  <c r="AO27" i="26" s="1"/>
  <c r="AO28" i="26" s="1"/>
  <c r="AO29" i="26" s="1"/>
  <c r="AO30" i="26" s="1"/>
  <c r="AO31" i="26" s="1"/>
  <c r="AO32" i="26" s="1"/>
  <c r="AO33" i="26" s="1"/>
  <c r="AO34" i="26" s="1"/>
  <c r="AO35" i="26" s="1"/>
  <c r="AO36" i="26" s="1"/>
  <c r="AO37" i="26" s="1"/>
  <c r="AO38" i="26" s="1"/>
  <c r="AO39" i="26" s="1"/>
  <c r="AO40" i="26" s="1"/>
  <c r="AO41" i="26" s="1"/>
  <c r="AO42" i="26" s="1"/>
  <c r="AO43" i="26" s="1"/>
  <c r="AO44" i="26" s="1"/>
  <c r="AO45" i="26" s="1"/>
  <c r="AO46" i="26" s="1"/>
  <c r="AO47" i="26" s="1"/>
  <c r="AO48" i="26" s="1"/>
  <c r="AO49" i="26" s="1"/>
  <c r="AO50" i="26" s="1"/>
  <c r="AO51" i="26" s="1"/>
  <c r="AO52" i="26" s="1"/>
  <c r="AO53" i="26" s="1"/>
  <c r="AO54" i="26" s="1"/>
  <c r="AO55" i="26" s="1"/>
  <c r="AO56" i="26" s="1"/>
  <c r="AO57" i="26" s="1"/>
  <c r="AO58" i="26" s="1"/>
  <c r="AO59" i="26" s="1"/>
  <c r="AO60" i="26" s="1"/>
  <c r="AO61" i="26" s="1"/>
  <c r="AO62" i="26" s="1"/>
  <c r="AO63" i="26" s="1"/>
  <c r="AO64" i="26" s="1"/>
  <c r="AO65" i="26" s="1"/>
  <c r="AO66" i="26" s="1"/>
  <c r="AO67" i="26" s="1"/>
  <c r="AO68" i="26" s="1"/>
  <c r="AO69" i="26" s="1"/>
  <c r="AO70" i="26" s="1"/>
  <c r="AO71" i="26" s="1"/>
  <c r="AO72" i="26" s="1"/>
  <c r="AO73" i="26" s="1"/>
  <c r="AO74" i="26" s="1"/>
  <c r="AO75" i="26" s="1"/>
  <c r="AO76" i="26" s="1"/>
  <c r="AO77" i="26" s="1"/>
  <c r="AO78" i="26" s="1"/>
  <c r="AO79" i="26" s="1"/>
  <c r="AO80" i="26" s="1"/>
  <c r="AO81" i="26" s="1"/>
  <c r="AO82" i="26" s="1"/>
  <c r="AO83" i="26" s="1"/>
  <c r="AO84" i="26" s="1"/>
  <c r="AO85" i="26" s="1"/>
  <c r="AO86" i="26" s="1"/>
  <c r="AO87" i="26" s="1"/>
  <c r="AO88" i="26" s="1"/>
  <c r="AO89" i="26" s="1"/>
  <c r="AO90" i="26" s="1"/>
  <c r="AO91" i="26" s="1"/>
  <c r="AO92" i="26" s="1"/>
  <c r="AO93" i="26" s="1"/>
  <c r="AO94" i="26" s="1"/>
  <c r="AO95" i="26" s="1"/>
  <c r="AO96" i="26" s="1"/>
  <c r="AO97" i="26" s="1"/>
  <c r="AO98" i="26" s="1"/>
  <c r="AO99" i="26" s="1"/>
  <c r="AO100" i="26" s="1"/>
  <c r="AO101" i="26" s="1"/>
  <c r="AO102" i="26" s="1"/>
  <c r="AO103" i="26" s="1"/>
  <c r="AO104" i="26" s="1"/>
  <c r="AO105" i="26" s="1"/>
  <c r="AO106" i="26" s="1"/>
  <c r="AO107" i="26" s="1"/>
  <c r="AO108" i="26" s="1"/>
  <c r="AO109" i="26" s="1"/>
  <c r="AO110" i="26" s="1"/>
  <c r="AO111" i="26" s="1"/>
  <c r="AO112" i="26" s="1"/>
  <c r="AO113" i="26" s="1"/>
  <c r="AO114" i="26" s="1"/>
  <c r="AO115" i="26" s="1"/>
  <c r="AO116" i="26" s="1"/>
  <c r="AO117" i="26" s="1"/>
  <c r="AO118" i="26" s="1"/>
  <c r="AO119" i="26" s="1"/>
  <c r="AO120" i="26" s="1"/>
  <c r="AO121" i="26" s="1"/>
  <c r="AO122" i="26" s="1"/>
  <c r="AO123" i="26" s="1"/>
  <c r="AO124" i="26" s="1"/>
  <c r="AO125" i="26" s="1"/>
  <c r="AO126" i="26" s="1"/>
  <c r="AO127" i="26" s="1"/>
  <c r="AO128" i="26" s="1"/>
  <c r="AO129" i="26" s="1"/>
  <c r="AO130" i="26" s="1"/>
  <c r="AO131" i="26" s="1"/>
  <c r="AO132" i="26" s="1"/>
  <c r="AO133" i="26" s="1"/>
  <c r="AO134" i="26" s="1"/>
  <c r="AO135" i="26" s="1"/>
  <c r="AO136" i="26" s="1"/>
  <c r="AO137" i="26" s="1"/>
  <c r="AK5" i="2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CHAIX Antonin</author>
  </authors>
  <commentList>
    <comment ref="J7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
 Variation de valeur de la position short call</t>
        </r>
      </text>
    </comment>
    <comment ref="K7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
 Variation du delta hedge + intérêts de la position en cash</t>
        </r>
      </text>
    </comment>
  </commentList>
</comments>
</file>

<file path=xl/sharedStrings.xml><?xml version="1.0" encoding="utf-8"?>
<sst xmlns="http://schemas.openxmlformats.org/spreadsheetml/2006/main" count="157" uniqueCount="21">
  <si>
    <t>T</t>
  </si>
  <si>
    <t>K</t>
  </si>
  <si>
    <t>r</t>
  </si>
  <si>
    <t>As of date</t>
  </si>
  <si>
    <t>Maturity</t>
  </si>
  <si>
    <t>Vol histo</t>
  </si>
  <si>
    <t>Vol pricing</t>
  </si>
  <si>
    <t>C0</t>
  </si>
  <si>
    <t>P&amp;L final</t>
  </si>
  <si>
    <t>Date</t>
  </si>
  <si>
    <t>Adj Close</t>
  </si>
  <si>
    <t>Rdts</t>
  </si>
  <si>
    <t>Base 100</t>
  </si>
  <si>
    <t>Delta</t>
  </si>
  <si>
    <t>Cash</t>
  </si>
  <si>
    <t>Call</t>
  </si>
  <si>
    <t>P&amp;L</t>
  </si>
  <si>
    <t>P&amp;L total</t>
  </si>
  <si>
    <t>P&amp;L capi -&gt; T</t>
  </si>
  <si>
    <t>Variation hedge</t>
  </si>
  <si>
    <t>Variation short 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</si>
</sst>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1" applyFont="1"/>
    <xf numFmtId="14" fontId="1" fillId="0" borderId="0" xfId="1" applyNumberFormat="1"/>
    <xf numFmtId="0" fontId="1" fillId="0" borderId="0" xfId="1"/>
    <xf numFmtId="10" fontId="0" fillId="0" borderId="0" xfId="2" applyNumberFormat="1" applyFont="1"/>
    <xf numFmtId="10" fontId="1" fillId="0" borderId="0" xfId="1" applyNumberFormat="1"/>
    <xf numFmtId="2" fontId="3" fillId="0" borderId="0" xfId="2" applyNumberFormat="1" applyFont="1"/>
    <xf numFmtId="0" fontId="2" fillId="0" borderId="1" xfId="1" applyFont="1" applyBorder="1" applyAlignment="1">
      <alignment horizontal="center"/>
    </xf>
    <xf numFmtId="0" fontId="2" fillId="0" borderId="0" xfId="1" applyFont="1" applyAlignment="1">
      <alignment horizontal="center"/>
    </xf>
    <xf numFmtId="0" fontId="1" fillId="0" borderId="0" xfId="1" applyAlignment="1">
      <alignment horizontal="center"/>
    </xf>
    <xf numFmtId="14" fontId="1" fillId="0" borderId="0" xfId="1" applyNumberFormat="1" applyAlignment="1">
      <alignment horizontal="center"/>
    </xf>
    <xf numFmtId="10" fontId="0" fillId="0" borderId="0" xfId="2" applyNumberFormat="1" applyFont="1" applyAlignment="1">
      <alignment horizontal="center"/>
    </xf>
    <xf numFmtId="0" fontId="2" fillId="0" borderId="0" xfId="1" applyFont="1" applyBorder="1" applyAlignment="1">
      <alignment horizontal="center"/>
    </xf>
    <xf numFmtId="0" fontId="4" fillId="0" borderId="0" xfId="1" applyFont="1" applyAlignment="1">
      <alignment horizontal="center"/>
    </xf>
    <xf numFmtId="0" fontId="2" fillId="0" borderId="2" xfId="1" applyFont="1" applyBorder="1"/>
    <xf numFmtId="0" fontId="4" fillId="0" borderId="3" xfId="1" applyFont="1" applyBorder="1"/>
  </cellXfs>
  <cellStyles count="3">
    <cellStyle name="Normal" xfId="0" builtinId="0"/>
    <cellStyle name="Normal 2" xfId="1" xr:uid="{00000000-0005-0000-0000-000001000000}"/>
    <cellStyle name="Pourcentage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J137"/>
  <sheetViews>
    <sheetView tabSelected="1" zoomScaleNormal="100" workbookViewId="0"/>
  </sheetViews>
  <sheetFormatPr baseColWidth="10" defaultColWidth="11.44140625" defaultRowHeight="14.4" x14ac:dyDescent="0.3"/>
  <cols>
    <col min="1" max="16384" width="11.44140625" style="3"/>
  </cols>
  <sheetData>
    <row r="1" spans="1:62" x14ac:dyDescent="0.3">
      <c r="A1" s="1" t="s">
        <v>3</v>
      </c>
      <c r="B1" s="2">
        <f>A8</f>
        <v>41787</v>
      </c>
      <c r="D1" s="1" t="s">
        <v>0</v>
      </c>
      <c r="E1" s="3">
        <f>(B2-B1)/365</f>
        <v>0.50410958904109593</v>
      </c>
      <c r="H1" s="1" t="s">
        <v>3</v>
      </c>
      <c r="I1" s="2">
        <f>H8</f>
        <v>41974</v>
      </c>
      <c r="K1" s="1" t="s">
        <v>0</v>
      </c>
      <c r="L1" s="3">
        <f>(I2-I1)/365</f>
        <v>0.51780821917808217</v>
      </c>
      <c r="O1" s="1" t="s">
        <v>3</v>
      </c>
      <c r="P1" s="2">
        <f>O8</f>
        <v>42164</v>
      </c>
      <c r="R1" s="1" t="s">
        <v>0</v>
      </c>
      <c r="S1" s="3">
        <f>(P2-P1)/365</f>
        <v>0.50410958904109593</v>
      </c>
      <c r="V1" s="1" t="s">
        <v>3</v>
      </c>
      <c r="W1" s="2">
        <f>V8</f>
        <v>42349</v>
      </c>
      <c r="Y1" s="1" t="s">
        <v>0</v>
      </c>
      <c r="Z1" s="3">
        <f>(W2-W1)/365</f>
        <v>0.51780821917808217</v>
      </c>
      <c r="AC1" s="1" t="s">
        <v>3</v>
      </c>
      <c r="AD1" s="2">
        <f>AC8</f>
        <v>42541</v>
      </c>
      <c r="AF1" s="1" t="s">
        <v>0</v>
      </c>
      <c r="AG1" s="3">
        <f>(AD2-AD1)/365</f>
        <v>0.50410958904109593</v>
      </c>
      <c r="AJ1" s="1" t="s">
        <v>3</v>
      </c>
      <c r="AK1" s="2">
        <f>AJ8</f>
        <v>42726</v>
      </c>
      <c r="AM1" s="1" t="s">
        <v>0</v>
      </c>
      <c r="AN1" s="3">
        <f>(AK2-AK1)/365</f>
        <v>0.51780821917808217</v>
      </c>
      <c r="AQ1" s="1" t="s">
        <v>3</v>
      </c>
      <c r="AR1" s="2">
        <f>AQ8</f>
        <v>42916</v>
      </c>
      <c r="AT1" s="1" t="s">
        <v>0</v>
      </c>
      <c r="AU1" s="3">
        <f>(AR2-AR1)/365</f>
        <v>0.51506849315068493</v>
      </c>
      <c r="AX1" s="1" t="s">
        <v>3</v>
      </c>
      <c r="AY1" s="2">
        <f>AX8</f>
        <v>43105</v>
      </c>
      <c r="BA1" s="1" t="s">
        <v>0</v>
      </c>
      <c r="BB1" s="3">
        <f>(AY2-AY1)/365</f>
        <v>0.51506849315068493</v>
      </c>
      <c r="BE1" s="1" t="s">
        <v>3</v>
      </c>
      <c r="BF1" s="2">
        <f>BE8</f>
        <v>43294</v>
      </c>
      <c r="BH1" s="1" t="s">
        <v>0</v>
      </c>
      <c r="BI1" s="3">
        <f>(BF2-BF1)/365</f>
        <v>0.51506849315068493</v>
      </c>
    </row>
    <row r="2" spans="1:62" x14ac:dyDescent="0.3">
      <c r="A2" s="1" t="s">
        <v>4</v>
      </c>
      <c r="B2" s="2">
        <f>A137</f>
        <v>41971</v>
      </c>
      <c r="D2" s="1" t="s">
        <v>1</v>
      </c>
      <c r="E2" s="3">
        <v>100</v>
      </c>
      <c r="H2" s="1" t="s">
        <v>4</v>
      </c>
      <c r="I2" s="2">
        <f>H137</f>
        <v>42163</v>
      </c>
      <c r="K2" s="1" t="s">
        <v>1</v>
      </c>
      <c r="L2" s="3">
        <v>100</v>
      </c>
      <c r="O2" s="1" t="s">
        <v>4</v>
      </c>
      <c r="P2" s="2">
        <f>O137</f>
        <v>42348</v>
      </c>
      <c r="R2" s="1" t="s">
        <v>1</v>
      </c>
      <c r="S2" s="3">
        <v>100</v>
      </c>
      <c r="V2" s="1" t="s">
        <v>4</v>
      </c>
      <c r="W2" s="2">
        <f>V137</f>
        <v>42538</v>
      </c>
      <c r="Y2" s="1" t="s">
        <v>1</v>
      </c>
      <c r="Z2" s="3">
        <v>100</v>
      </c>
      <c r="AC2" s="1" t="s">
        <v>4</v>
      </c>
      <c r="AD2" s="2">
        <f>AC137</f>
        <v>42725</v>
      </c>
      <c r="AF2" s="1" t="s">
        <v>1</v>
      </c>
      <c r="AG2" s="3">
        <v>100</v>
      </c>
      <c r="AJ2" s="1" t="s">
        <v>4</v>
      </c>
      <c r="AK2" s="2">
        <f>AJ137</f>
        <v>42915</v>
      </c>
      <c r="AM2" s="1" t="s">
        <v>1</v>
      </c>
      <c r="AN2" s="3">
        <v>100</v>
      </c>
      <c r="AQ2" s="1" t="s">
        <v>4</v>
      </c>
      <c r="AR2" s="2">
        <f>AQ137</f>
        <v>43104</v>
      </c>
      <c r="AT2" s="1" t="s">
        <v>1</v>
      </c>
      <c r="AU2" s="3">
        <v>100</v>
      </c>
      <c r="AX2" s="1" t="s">
        <v>4</v>
      </c>
      <c r="AY2" s="2">
        <f>AX137</f>
        <v>43293</v>
      </c>
      <c r="BA2" s="1" t="s">
        <v>1</v>
      </c>
      <c r="BB2" s="3">
        <v>100</v>
      </c>
      <c r="BE2" s="1" t="s">
        <v>4</v>
      </c>
      <c r="BF2" s="2">
        <f>BE137</f>
        <v>43482</v>
      </c>
      <c r="BH2" s="1" t="s">
        <v>1</v>
      </c>
      <c r="BI2" s="3">
        <v>100</v>
      </c>
    </row>
    <row r="3" spans="1:62" x14ac:dyDescent="0.3">
      <c r="A3" s="1" t="s">
        <v>5</v>
      </c>
      <c r="B3" s="4">
        <f>_xlfn.STDEV.P(C9:C137)*SQRT(255)</f>
        <v>0.12475693332132674</v>
      </c>
      <c r="D3" s="1" t="s">
        <v>2</v>
      </c>
      <c r="E3" s="5">
        <v>1.4999999999999999E-2</v>
      </c>
      <c r="H3" s="1" t="s">
        <v>5</v>
      </c>
      <c r="I3" s="4">
        <f>_xlfn.STDEV.P(J9:J137)*SQRT(255)</f>
        <v>0.13715907626869736</v>
      </c>
      <c r="K3" s="1" t="s">
        <v>2</v>
      </c>
      <c r="L3" s="5">
        <v>1.4999999999999999E-2</v>
      </c>
      <c r="O3" s="1" t="s">
        <v>5</v>
      </c>
      <c r="P3" s="4">
        <f>_xlfn.STDEV.P(Q9:Q137)*SQRT(255)</f>
        <v>0.19361616177222191</v>
      </c>
      <c r="R3" s="1" t="s">
        <v>2</v>
      </c>
      <c r="S3" s="5">
        <v>1.4999999999999999E-2</v>
      </c>
      <c r="V3" s="1" t="s">
        <v>5</v>
      </c>
      <c r="W3" s="4">
        <f>_xlfn.STDEV.P(X9:X137)*SQRT(255)</f>
        <v>0.18220539223666513</v>
      </c>
      <c r="Y3" s="1" t="s">
        <v>2</v>
      </c>
      <c r="Z3" s="5">
        <v>1.4999999999999999E-2</v>
      </c>
      <c r="AC3" s="1" t="s">
        <v>5</v>
      </c>
      <c r="AD3" s="4">
        <f>_xlfn.STDEV.P(AE9:AE137)*SQRT(255)</f>
        <v>0.1361739812711435</v>
      </c>
      <c r="AF3" s="1" t="s">
        <v>2</v>
      </c>
      <c r="AG3" s="5">
        <v>1.4999999999999999E-2</v>
      </c>
      <c r="AJ3" s="1" t="s">
        <v>5</v>
      </c>
      <c r="AK3" s="4">
        <f>_xlfn.STDEV.P(AL9:AL137)*SQRT(255)</f>
        <v>9.7907393244240193E-2</v>
      </c>
      <c r="AM3" s="1" t="s">
        <v>2</v>
      </c>
      <c r="AN3" s="5">
        <v>1.4999999999999999E-2</v>
      </c>
      <c r="AQ3" s="1" t="s">
        <v>5</v>
      </c>
      <c r="AR3" s="4">
        <f>_xlfn.STDEV.P(AS9:AS137)*SQRT(255)</f>
        <v>9.6853911098358156E-2</v>
      </c>
      <c r="AT3" s="1" t="s">
        <v>2</v>
      </c>
      <c r="AU3" s="5">
        <v>1.4999999999999999E-2</v>
      </c>
      <c r="AX3" s="1" t="s">
        <v>5</v>
      </c>
      <c r="AY3" s="4">
        <f>_xlfn.STDEV.P(AZ9:AZ137)*SQRT(255)</f>
        <v>0.18566387928824313</v>
      </c>
      <c r="BA3" s="1" t="s">
        <v>2</v>
      </c>
      <c r="BB3" s="5">
        <v>1.4999999999999999E-2</v>
      </c>
      <c r="BE3" s="1" t="s">
        <v>5</v>
      </c>
      <c r="BF3" s="4">
        <f>_xlfn.STDEV.P(BG9:BG137)*SQRT(255)</f>
        <v>0.23944638383739739</v>
      </c>
      <c r="BH3" s="1" t="s">
        <v>2</v>
      </c>
      <c r="BI3" s="5">
        <v>1.4999999999999999E-2</v>
      </c>
    </row>
    <row r="4" spans="1:62" x14ac:dyDescent="0.3">
      <c r="A4" s="1" t="s">
        <v>6</v>
      </c>
      <c r="B4" s="4">
        <f>B3</f>
        <v>0.12475693332132674</v>
      </c>
      <c r="D4" s="1" t="s">
        <v>7</v>
      </c>
      <c r="E4" s="3">
        <f>BScall(E1,E2,D8,B4,E3)</f>
        <v>3.9087643295938475</v>
      </c>
      <c r="H4" s="1" t="s">
        <v>6</v>
      </c>
      <c r="I4" s="4">
        <f>I3</f>
        <v>0.13715907626869736</v>
      </c>
      <c r="K4" s="1" t="s">
        <v>7</v>
      </c>
      <c r="L4" s="3">
        <f>BScall(L1,L2,K8,I4,L3)</f>
        <v>4.3196389694318524</v>
      </c>
      <c r="O4" s="1" t="s">
        <v>6</v>
      </c>
      <c r="P4" s="4">
        <f>P3</f>
        <v>0.19361616177222191</v>
      </c>
      <c r="R4" s="1" t="s">
        <v>7</v>
      </c>
      <c r="S4" s="3">
        <f>BScall(S1,S2,R8,P4,S3)</f>
        <v>5.8441555565101204</v>
      </c>
      <c r="V4" s="1" t="s">
        <v>6</v>
      </c>
      <c r="W4" s="4">
        <f>W3</f>
        <v>0.18220539223666513</v>
      </c>
      <c r="Y4" s="1" t="s">
        <v>7</v>
      </c>
      <c r="Z4" s="3">
        <f>BScall(Z1,Z2,Y8,W4,Z3)</f>
        <v>5.6026587897429696</v>
      </c>
      <c r="AC4" s="1" t="s">
        <v>6</v>
      </c>
      <c r="AD4" s="4">
        <f>AD3</f>
        <v>0.1361739812711435</v>
      </c>
      <c r="AF4" s="1" t="s">
        <v>7</v>
      </c>
      <c r="AG4" s="3">
        <f>BScall(AG1,AG2,AF8,AD4,AG3)</f>
        <v>4.229515678214594</v>
      </c>
      <c r="AJ4" s="1" t="s">
        <v>6</v>
      </c>
      <c r="AK4" s="4">
        <f>AK3</f>
        <v>9.7907393244240193E-2</v>
      </c>
      <c r="AM4" s="1" t="s">
        <v>7</v>
      </c>
      <c r="AN4" s="3">
        <f>BScall(AN1,AN2,AM8,AK4,AN3)</f>
        <v>3.2030574110473258</v>
      </c>
      <c r="AQ4" s="1" t="s">
        <v>6</v>
      </c>
      <c r="AR4" s="4">
        <f>AR3</f>
        <v>9.6853911098358156E-2</v>
      </c>
      <c r="AT4" s="1" t="s">
        <v>7</v>
      </c>
      <c r="AU4" s="3">
        <f>BScall(AU1,AU2,AT8,AR4,AU3)</f>
        <v>3.163684261554077</v>
      </c>
      <c r="AX4" s="1" t="s">
        <v>6</v>
      </c>
      <c r="AY4" s="4">
        <f>AY3</f>
        <v>0.18566387928824313</v>
      </c>
      <c r="BA4" s="1" t="s">
        <v>7</v>
      </c>
      <c r="BB4" s="3">
        <f>BScall(BB1,BB2,BA8,AY4,BB3)</f>
        <v>5.6851377150441618</v>
      </c>
      <c r="BE4" s="1" t="s">
        <v>6</v>
      </c>
      <c r="BF4" s="4">
        <f>BF3</f>
        <v>0.23944638383739739</v>
      </c>
      <c r="BH4" s="1" t="s">
        <v>7</v>
      </c>
      <c r="BI4" s="3">
        <f>BScall(BI1,BI2,BH8,BF4,BI3)</f>
        <v>7.2125976032934354</v>
      </c>
    </row>
    <row r="5" spans="1:62" x14ac:dyDescent="0.3">
      <c r="A5" s="1" t="s">
        <v>8</v>
      </c>
      <c r="B5" s="6">
        <f>F137</f>
        <v>-0.4493642697904221</v>
      </c>
      <c r="H5" s="1" t="s">
        <v>8</v>
      </c>
      <c r="I5" s="6">
        <f>M137</f>
        <v>-0.1047817385680645</v>
      </c>
      <c r="O5" s="1" t="s">
        <v>8</v>
      </c>
      <c r="P5" s="6">
        <f>T137</f>
        <v>0.65371195504331325</v>
      </c>
      <c r="V5" s="1" t="s">
        <v>8</v>
      </c>
      <c r="W5" s="6">
        <f>AA137</f>
        <v>1.0774494924266158</v>
      </c>
      <c r="AC5" s="1" t="s">
        <v>8</v>
      </c>
      <c r="AD5" s="6">
        <f>AH137</f>
        <v>-0.36260108247606126</v>
      </c>
      <c r="AJ5" s="1" t="s">
        <v>8</v>
      </c>
      <c r="AK5" s="6">
        <f>AO137</f>
        <v>0.19698659876401337</v>
      </c>
      <c r="AQ5" s="1" t="s">
        <v>8</v>
      </c>
      <c r="AR5" s="6">
        <f>AV137</f>
        <v>-0.11195072375465998</v>
      </c>
      <c r="AX5" s="1" t="s">
        <v>8</v>
      </c>
      <c r="AY5" s="6">
        <f>BC137</f>
        <v>2.1944074910877021E-2</v>
      </c>
      <c r="BE5" s="1" t="s">
        <v>8</v>
      </c>
      <c r="BF5" s="6">
        <f>BJ137</f>
        <v>0.46943634446289978</v>
      </c>
    </row>
    <row r="7" spans="1:62" x14ac:dyDescent="0.3">
      <c r="A7" s="7" t="s">
        <v>9</v>
      </c>
      <c r="B7" s="7" t="s">
        <v>10</v>
      </c>
      <c r="C7" s="7" t="s">
        <v>11</v>
      </c>
      <c r="D7" s="7" t="s">
        <v>12</v>
      </c>
      <c r="E7" s="7" t="s">
        <v>13</v>
      </c>
      <c r="F7" s="7" t="s">
        <v>14</v>
      </c>
      <c r="G7" s="8"/>
      <c r="H7" s="7" t="s">
        <v>9</v>
      </c>
      <c r="I7" s="7" t="s">
        <v>10</v>
      </c>
      <c r="J7" s="7" t="s">
        <v>11</v>
      </c>
      <c r="K7" s="7" t="s">
        <v>12</v>
      </c>
      <c r="L7" s="7" t="s">
        <v>13</v>
      </c>
      <c r="M7" s="7" t="s">
        <v>14</v>
      </c>
      <c r="N7" s="8"/>
      <c r="O7" s="7" t="s">
        <v>9</v>
      </c>
      <c r="P7" s="7" t="s">
        <v>10</v>
      </c>
      <c r="Q7" s="7" t="s">
        <v>11</v>
      </c>
      <c r="R7" s="7" t="s">
        <v>12</v>
      </c>
      <c r="S7" s="7" t="s">
        <v>13</v>
      </c>
      <c r="T7" s="7" t="s">
        <v>14</v>
      </c>
      <c r="U7" s="9"/>
      <c r="V7" s="7" t="s">
        <v>9</v>
      </c>
      <c r="W7" s="7" t="s">
        <v>10</v>
      </c>
      <c r="X7" s="7" t="s">
        <v>11</v>
      </c>
      <c r="Y7" s="7" t="s">
        <v>12</v>
      </c>
      <c r="Z7" s="7" t="s">
        <v>13</v>
      </c>
      <c r="AA7" s="7" t="s">
        <v>14</v>
      </c>
      <c r="AB7" s="9"/>
      <c r="AC7" s="7" t="s">
        <v>9</v>
      </c>
      <c r="AD7" s="7" t="s">
        <v>10</v>
      </c>
      <c r="AE7" s="7" t="s">
        <v>11</v>
      </c>
      <c r="AF7" s="7" t="s">
        <v>12</v>
      </c>
      <c r="AG7" s="7" t="s">
        <v>13</v>
      </c>
      <c r="AH7" s="7" t="s">
        <v>14</v>
      </c>
      <c r="AI7" s="9"/>
      <c r="AJ7" s="7" t="s">
        <v>9</v>
      </c>
      <c r="AK7" s="7" t="s">
        <v>10</v>
      </c>
      <c r="AL7" s="7" t="s">
        <v>11</v>
      </c>
      <c r="AM7" s="7" t="s">
        <v>12</v>
      </c>
      <c r="AN7" s="7" t="s">
        <v>13</v>
      </c>
      <c r="AO7" s="7" t="s">
        <v>14</v>
      </c>
      <c r="AP7" s="9"/>
      <c r="AQ7" s="7" t="s">
        <v>9</v>
      </c>
      <c r="AR7" s="7" t="s">
        <v>10</v>
      </c>
      <c r="AS7" s="7" t="s">
        <v>11</v>
      </c>
      <c r="AT7" s="7" t="s">
        <v>12</v>
      </c>
      <c r="AU7" s="7" t="s">
        <v>13</v>
      </c>
      <c r="AV7" s="7" t="s">
        <v>14</v>
      </c>
      <c r="AW7" s="9"/>
      <c r="AX7" s="7" t="s">
        <v>9</v>
      </c>
      <c r="AY7" s="7" t="s">
        <v>10</v>
      </c>
      <c r="AZ7" s="7" t="s">
        <v>11</v>
      </c>
      <c r="BA7" s="7" t="s">
        <v>12</v>
      </c>
      <c r="BB7" s="7" t="s">
        <v>13</v>
      </c>
      <c r="BC7" s="7" t="s">
        <v>14</v>
      </c>
      <c r="BD7" s="9"/>
      <c r="BE7" s="7" t="s">
        <v>9</v>
      </c>
      <c r="BF7" s="7" t="s">
        <v>10</v>
      </c>
      <c r="BG7" s="7" t="s">
        <v>11</v>
      </c>
      <c r="BH7" s="7" t="s">
        <v>12</v>
      </c>
      <c r="BI7" s="7" t="s">
        <v>13</v>
      </c>
      <c r="BJ7" s="7" t="s">
        <v>14</v>
      </c>
    </row>
    <row r="8" spans="1:62" x14ac:dyDescent="0.3">
      <c r="A8" s="10">
        <v>41787</v>
      </c>
      <c r="B8" s="9">
        <v>4225.080078</v>
      </c>
      <c r="C8" s="9"/>
      <c r="D8" s="9">
        <f>B8/B$8*100</f>
        <v>100</v>
      </c>
      <c r="E8" s="9">
        <f>Bscall_delta((B$2-A8)/365,E$2,D8,B$4,E$3)</f>
        <v>0.55158067909108444</v>
      </c>
      <c r="F8" s="9">
        <f>E$4-E8*D8</f>
        <v>-51.249303579514596</v>
      </c>
      <c r="G8" s="9"/>
      <c r="H8" s="10">
        <v>41974</v>
      </c>
      <c r="I8" s="9">
        <v>4727.3500979999999</v>
      </c>
      <c r="J8" s="9"/>
      <c r="K8" s="9">
        <f>I8/I$8*100</f>
        <v>100</v>
      </c>
      <c r="L8" s="9">
        <f>Bscall_delta((I$2-H8)/365,L$2,K8,I$4,L$3)</f>
        <v>0.55094324326066468</v>
      </c>
      <c r="M8" s="9">
        <f>L$4-L8*K8</f>
        <v>-50.77468535663462</v>
      </c>
      <c r="N8" s="9"/>
      <c r="O8" s="10">
        <v>42164</v>
      </c>
      <c r="P8" s="9">
        <v>5013.8701170000004</v>
      </c>
      <c r="Q8" s="9"/>
      <c r="R8" s="9">
        <f>P8/P$8*100</f>
        <v>100</v>
      </c>
      <c r="S8" s="9">
        <f>Bscall_delta((P$2-O8)/365,S$2,R8,P$4,S$3)</f>
        <v>0.54923968872111995</v>
      </c>
      <c r="T8" s="9">
        <f>S$4-S8*R8</f>
        <v>-49.079813315601868</v>
      </c>
      <c r="U8" s="9"/>
      <c r="V8" s="10">
        <v>42349</v>
      </c>
      <c r="W8" s="9">
        <v>4933.4702150000003</v>
      </c>
      <c r="X8" s="9"/>
      <c r="Y8" s="9">
        <f>W8/W$8*100</f>
        <v>100</v>
      </c>
      <c r="Z8" s="9">
        <f>Bscall_delta((W$2-V8)/365,Z$2,Y8,W$4,Z$3)</f>
        <v>0.54965763779122156</v>
      </c>
      <c r="AA8" s="9">
        <f>Z$4-Z8*Y8</f>
        <v>-49.363104989379188</v>
      </c>
      <c r="AB8" s="9"/>
      <c r="AC8" s="10">
        <v>42541</v>
      </c>
      <c r="AD8" s="9">
        <v>4837.2099609999996</v>
      </c>
      <c r="AE8" s="9"/>
      <c r="AF8" s="9">
        <f>AD8/AD$8*100</f>
        <v>100</v>
      </c>
      <c r="AG8" s="9">
        <f>Bscall_delta((AD$2-AC8)/365,AG$2,AF8,AD$4,AG$3)</f>
        <v>0.55035240220836645</v>
      </c>
      <c r="AH8" s="9">
        <f>AG$4-AG8*AF8</f>
        <v>-50.805724542622052</v>
      </c>
      <c r="AI8" s="9"/>
      <c r="AJ8" s="10">
        <v>42726</v>
      </c>
      <c r="AK8" s="9">
        <v>5447.419922</v>
      </c>
      <c r="AL8" s="9"/>
      <c r="AM8" s="9">
        <f>AK8/AK$8*100</f>
        <v>100</v>
      </c>
      <c r="AN8" s="9">
        <f>Bscall_delta((AK$2-AJ8)/365,AN$2,AM8,AK$4,AN$3)</f>
        <v>0.55783084112112902</v>
      </c>
      <c r="AO8" s="9">
        <f>AN$4-AN8*AM8</f>
        <v>-52.580026701065577</v>
      </c>
      <c r="AP8" s="9"/>
      <c r="AQ8" s="10">
        <v>42916</v>
      </c>
      <c r="AR8" s="9">
        <v>6140.419922</v>
      </c>
      <c r="AS8" s="9"/>
      <c r="AT8" s="9">
        <f>AR8/AR$8*100</f>
        <v>100</v>
      </c>
      <c r="AU8" s="9">
        <f>Bscall_delta((AR$2-AQ8)/365,AU$2,AT8,AR$4,AU$3)</f>
        <v>0.55800159177833686</v>
      </c>
      <c r="AV8" s="9">
        <f>AU$4-AU8*AT8</f>
        <v>-52.63647491627961</v>
      </c>
      <c r="AW8" s="9"/>
      <c r="AX8" s="10">
        <v>43105</v>
      </c>
      <c r="AY8" s="9">
        <v>7136.5600590000004</v>
      </c>
      <c r="AZ8" s="9"/>
      <c r="BA8" s="9">
        <f>AY8/AY$8*100</f>
        <v>100</v>
      </c>
      <c r="BB8" s="9">
        <f>Bscall_delta((AY$2-AX8)/365,BB$2,BA8,AY$4,BB$3)</f>
        <v>0.54958237911387098</v>
      </c>
      <c r="BC8" s="9">
        <f>BB$4-BB8*BA8</f>
        <v>-49.273100196342938</v>
      </c>
      <c r="BD8" s="9"/>
      <c r="BE8" s="10">
        <v>43294</v>
      </c>
      <c r="BF8" s="9">
        <v>7825.9799800000001</v>
      </c>
      <c r="BG8" s="9"/>
      <c r="BH8" s="9">
        <f>BF8/BF$8*100</f>
        <v>100</v>
      </c>
      <c r="BI8" s="9">
        <f>Bscall_delta((BF$2-BE8)/365,BI$2,BH8,BF$4,BI$3)</f>
        <v>0.55206573031388206</v>
      </c>
      <c r="BJ8" s="9">
        <f>BI$4-BI8*BH8</f>
        <v>-47.993975428094771</v>
      </c>
    </row>
    <row r="9" spans="1:62" x14ac:dyDescent="0.3">
      <c r="A9" s="10">
        <v>41788</v>
      </c>
      <c r="B9" s="9">
        <v>4247.9501950000003</v>
      </c>
      <c r="C9" s="11">
        <f>(B9-B8)/B8</f>
        <v>5.4129428502633914E-3</v>
      </c>
      <c r="D9" s="9">
        <f t="shared" ref="D9:D72" si="0">B9/B$8*100</f>
        <v>100.54129428502634</v>
      </c>
      <c r="E9" s="9">
        <f t="shared" ref="E9:E72" si="1">Bscall_delta((B$2-A9)/365,E$2,D9,B$4,E$3)</f>
        <v>0.57550755048371061</v>
      </c>
      <c r="F9" s="9">
        <f>F8*EXP(E$3*(A9-A8)/365)-(E9-E8)*D9</f>
        <v>-53.657048376561498</v>
      </c>
      <c r="G9" s="9"/>
      <c r="H9" s="10">
        <v>41975</v>
      </c>
      <c r="I9" s="9">
        <v>4755.8100590000004</v>
      </c>
      <c r="J9" s="11">
        <f>(I9-I8)/I8</f>
        <v>6.0202778321920844E-3</v>
      </c>
      <c r="K9" s="9">
        <f t="shared" ref="K9:K72" si="2">I9/I$8*100</f>
        <v>100.6020277832192</v>
      </c>
      <c r="L9" s="9">
        <f t="shared" ref="L9:L72" si="3">Bscall_delta((I$2-H9)/365,L$2,K9,I$4,L$3)</f>
        <v>0.57482862886080421</v>
      </c>
      <c r="M9" s="9">
        <f>M8*EXP(L$3*(H9-H8)/365)-(L9-L8)*K9</f>
        <v>-53.179690256174389</v>
      </c>
      <c r="N9" s="9"/>
      <c r="O9" s="10">
        <v>42165</v>
      </c>
      <c r="P9" s="9">
        <v>5076.6899409999996</v>
      </c>
      <c r="Q9" s="11">
        <f>(P9-P8)/P8</f>
        <v>1.2529208482485954E-2</v>
      </c>
      <c r="R9" s="9">
        <f t="shared" ref="R9:R72" si="4">P9/P$8*100</f>
        <v>101.25292084824859</v>
      </c>
      <c r="S9" s="9">
        <f t="shared" ref="S9:S72" si="5">Bscall_delta((P$2-O9)/365,S$2,R9,P$4,S$3)</f>
        <v>0.58481499669532089</v>
      </c>
      <c r="T9" s="9">
        <f>T8*EXP(S$3*(O9-O8)/365)-(S9-S8)*R9</f>
        <v>-52.68393417814044</v>
      </c>
      <c r="U9" s="9"/>
      <c r="V9" s="10">
        <v>42352</v>
      </c>
      <c r="W9" s="9">
        <v>4952.2299800000001</v>
      </c>
      <c r="X9" s="11">
        <f>(W9-W8)/W8</f>
        <v>3.8025495609483044E-3</v>
      </c>
      <c r="Y9" s="9">
        <f t="shared" ref="Y9:Y72" si="6">W9/W$8*100</f>
        <v>100.38025495609484</v>
      </c>
      <c r="Z9" s="9">
        <f t="shared" ref="Z9:Z72" si="7">Bscall_delta((W$2-V9)/365,Z$2,Y9,W$4,Z$3)</f>
        <v>0.56079360665879385</v>
      </c>
      <c r="AA9" s="9">
        <f>AA8*EXP(Z$3*(V9-V8)/365)-(Z9-Z8)*Y9</f>
        <v>-50.487022620919511</v>
      </c>
      <c r="AB9" s="9"/>
      <c r="AC9" s="10">
        <v>42542</v>
      </c>
      <c r="AD9" s="9">
        <v>4843.7597660000001</v>
      </c>
      <c r="AE9" s="11">
        <f>(AD9-AD8)/AD8</f>
        <v>1.3540460415835485E-3</v>
      </c>
      <c r="AF9" s="9">
        <f t="shared" ref="AF9:AF72" si="8">AD9/AD$8*100</f>
        <v>100.13540460415835</v>
      </c>
      <c r="AG9" s="9">
        <f t="shared" ref="AG9:AG72" si="9">Bscall_delta((AD$2-AC9)/365,AG$2,AF9,AD$4,AG$3)</f>
        <v>0.55576516776525109</v>
      </c>
      <c r="AH9" s="9">
        <f>AH8*EXP(AG$3*(AC9-AC8)/365)-(AG9-AG8)*AF9</f>
        <v>-51.349821961078973</v>
      </c>
      <c r="AI9" s="9"/>
      <c r="AJ9" s="10">
        <v>42727</v>
      </c>
      <c r="AK9" s="9">
        <v>5462.6899409999996</v>
      </c>
      <c r="AL9" s="11">
        <f>(AK9-AK8)/AK8</f>
        <v>2.8031653918086899E-3</v>
      </c>
      <c r="AM9" s="9">
        <f t="shared" ref="AM9:AM72" si="10">AK9/AK$8*100</f>
        <v>100.28031653918086</v>
      </c>
      <c r="AN9" s="9">
        <f t="shared" ref="AN9:AN72" si="11">Bscall_delta((AK$2-AJ9)/365,AN$2,AM9,AK$4,AN$3)</f>
        <v>0.57335570946538938</v>
      </c>
      <c r="AO9" s="9">
        <f>AO8*EXP(AN$3*(AJ9-AJ8)/365)-(AN9-AN8)*AM9</f>
        <v>-54.139026280273299</v>
      </c>
      <c r="AP9" s="9"/>
      <c r="AQ9" s="10">
        <v>42919</v>
      </c>
      <c r="AR9" s="9">
        <v>6110.0600590000004</v>
      </c>
      <c r="AS9" s="11">
        <f>(AR9-AR8)/AR8</f>
        <v>-4.9442649502236561E-3</v>
      </c>
      <c r="AT9" s="9">
        <f t="shared" ref="AT9:AT72" si="12">AR9/AR$8*100</f>
        <v>99.505573504977633</v>
      </c>
      <c r="AU9" s="9">
        <f t="shared" ref="AU9:AU72" si="13">Bscall_delta((AR$2-AQ9)/365,AU$2,AT9,AR$4,AU$3)</f>
        <v>0.52903865172487785</v>
      </c>
      <c r="AV9" s="9">
        <f>AV8*EXP(AU$3*(AQ9-AQ8)/365)-(AU9-AU8)*AT9</f>
        <v>-49.760990784333927</v>
      </c>
      <c r="AW9" s="9"/>
      <c r="AX9" s="10">
        <v>43108</v>
      </c>
      <c r="AY9" s="9">
        <v>7157.3901370000003</v>
      </c>
      <c r="AZ9" s="11">
        <f>(AY9-AY8)/AY8</f>
        <v>2.9187840959498269E-3</v>
      </c>
      <c r="BA9" s="9">
        <f t="shared" ref="BA9:BA72" si="14">AY9/AY$8*100</f>
        <v>100.29187840959499</v>
      </c>
      <c r="BB9" s="9">
        <f t="shared" ref="BB9:BB72" si="15">Bscall_delta((AY$2-AX9)/365,BB$2,BA9,AY$4,BB$3)</f>
        <v>0.5579042200211064</v>
      </c>
      <c r="BC9" s="9">
        <f>BC8*EXP(BB$3*(AX9-AX8)/365)-(BB9-BB8)*BA9</f>
        <v>-50.113788393020279</v>
      </c>
      <c r="BD9" s="9"/>
      <c r="BE9" s="10">
        <v>43297</v>
      </c>
      <c r="BF9" s="9">
        <v>7805.7202150000003</v>
      </c>
      <c r="BG9" s="11">
        <f>(BF9-BF8)/BF8</f>
        <v>-2.5887831366519531E-3</v>
      </c>
      <c r="BH9" s="9">
        <f t="shared" ref="BH9:BH72" si="16">BF9/BF$8*100</f>
        <v>99.741121686334793</v>
      </c>
      <c r="BI9" s="9">
        <f t="shared" ref="BI9:BI72" si="17">Bscall_delta((BF$2-BE9)/365,BI$2,BH9,BF$4,BI$3)</f>
        <v>0.54562993714506103</v>
      </c>
      <c r="BJ9" s="9">
        <f>BJ8*EXP(BI$3*(BE9-BE8)/365)-(BI9-BI8)*BH9</f>
        <v>-47.357979628724657</v>
      </c>
    </row>
    <row r="10" spans="1:62" x14ac:dyDescent="0.3">
      <c r="A10" s="10">
        <v>41789</v>
      </c>
      <c r="B10" s="9">
        <v>4242.6201170000004</v>
      </c>
      <c r="C10" s="11">
        <f t="shared" ref="C10:C73" si="18">(B10-B9)/B9</f>
        <v>-1.2547411705235299E-3</v>
      </c>
      <c r="D10" s="9">
        <f t="shared" si="0"/>
        <v>100.4151409837492</v>
      </c>
      <c r="E10" s="9">
        <f t="shared" si="1"/>
        <v>0.56984350925289928</v>
      </c>
      <c r="F10" s="9">
        <f t="shared" ref="F10:F73" si="19">F9*EXP(E$3*(A10-A9)/365)-(E10-E9)*D10</f>
        <v>-53.090498007322232</v>
      </c>
      <c r="G10" s="9"/>
      <c r="H10" s="10">
        <v>41976</v>
      </c>
      <c r="I10" s="9">
        <v>4774.4702150000003</v>
      </c>
      <c r="J10" s="11">
        <f t="shared" ref="J10:J73" si="20">(I10-I9)/I9</f>
        <v>3.9236545969044793E-3</v>
      </c>
      <c r="K10" s="9">
        <f t="shared" si="2"/>
        <v>100.99675539198876</v>
      </c>
      <c r="L10" s="9">
        <f t="shared" si="3"/>
        <v>0.59032915177322054</v>
      </c>
      <c r="M10" s="9">
        <f t="shared" ref="M10:M73" si="21">M9*EXP(L$3*(H10-H9)/365)-(L10-L9)*K10</f>
        <v>-54.747378288837936</v>
      </c>
      <c r="N10" s="9"/>
      <c r="O10" s="10">
        <v>42166</v>
      </c>
      <c r="P10" s="9">
        <v>5082.5097660000001</v>
      </c>
      <c r="Q10" s="11">
        <f t="shared" ref="Q10:Q73" si="22">(P10-P9)/P9</f>
        <v>1.1463818093358112E-3</v>
      </c>
      <c r="R10" s="9">
        <f t="shared" si="4"/>
        <v>101.36899535485115</v>
      </c>
      <c r="S10" s="9">
        <f t="shared" si="5"/>
        <v>0.58804493885393405</v>
      </c>
      <c r="T10" s="9">
        <f t="shared" ref="T10:T73" si="23">T9*EXP(S$3*(O10-O9)/365)-(S10-S9)*R10</f>
        <v>-53.013515307487559</v>
      </c>
      <c r="U10" s="9"/>
      <c r="V10" s="10">
        <v>42353</v>
      </c>
      <c r="W10" s="9">
        <v>4995.3598629999997</v>
      </c>
      <c r="X10" s="11">
        <f t="shared" ref="X10:X73" si="24">(W10-W9)/W9</f>
        <v>8.7091841804971277E-3</v>
      </c>
      <c r="Y10" s="9">
        <f t="shared" si="6"/>
        <v>101.25448508459272</v>
      </c>
      <c r="Z10" s="9">
        <f t="shared" si="7"/>
        <v>0.58689920260649342</v>
      </c>
      <c r="AA10" s="9">
        <f t="shared" ref="AA10:AA73" si="25">AA9*EXP(Z$3*(V10-V9)/365)-(Z10-Z9)*Y10</f>
        <v>-53.132406148212709</v>
      </c>
      <c r="AB10" s="9"/>
      <c r="AC10" s="10">
        <v>42543</v>
      </c>
      <c r="AD10" s="9">
        <v>4833.3198240000002</v>
      </c>
      <c r="AE10" s="11">
        <f t="shared" ref="AE10:AE73" si="26">(AD10-AD9)/AD9</f>
        <v>-2.1553385189086961E-3</v>
      </c>
      <c r="AF10" s="9">
        <f t="shared" si="8"/>
        <v>99.919578909508502</v>
      </c>
      <c r="AG10" s="9">
        <f t="shared" si="9"/>
        <v>0.54676619355959999</v>
      </c>
      <c r="AH10" s="9">
        <f t="shared" ref="AH10:AH73" si="27">AH9*EXP(AG$3*(AC10-AC9)/365)-(AG10-AG9)*AF10</f>
        <v>-50.452758557850956</v>
      </c>
      <c r="AI10" s="9"/>
      <c r="AJ10" s="10">
        <v>42731</v>
      </c>
      <c r="AK10" s="9">
        <v>5487.4399409999996</v>
      </c>
      <c r="AL10" s="11">
        <f t="shared" ref="AL10:AL73" si="28">(AK10-AK9)/AK9</f>
        <v>4.530734906669308E-3</v>
      </c>
      <c r="AM10" s="9">
        <f t="shared" si="10"/>
        <v>100.73466006977678</v>
      </c>
      <c r="AN10" s="9">
        <f t="shared" si="11"/>
        <v>0.59825472561072846</v>
      </c>
      <c r="AO10" s="9">
        <f t="shared" ref="AO10:AO73" si="29">AO9*EXP(AN$3*(AJ10-AJ9)/365)-(AN10-AN9)*AM10</f>
        <v>-56.656120505221054</v>
      </c>
      <c r="AP10" s="9"/>
      <c r="AQ10" s="10">
        <v>42921</v>
      </c>
      <c r="AR10" s="9">
        <v>6150.8598629999997</v>
      </c>
      <c r="AS10" s="11">
        <f t="shared" ref="AS10:AS73" si="30">(AR10-AR9)/AR9</f>
        <v>6.6774800257326421E-3</v>
      </c>
      <c r="AT10" s="9">
        <f t="shared" si="12"/>
        <v>100.17001998450618</v>
      </c>
      <c r="AU10" s="9">
        <f t="shared" si="13"/>
        <v>0.56699220904271663</v>
      </c>
      <c r="AV10" s="9">
        <f t="shared" ref="AV10:AV73" si="31">AV9*EXP(AU$3*(AQ10-AQ9)/365)-(AU10-AU9)*AT10</f>
        <v>-53.566889491877482</v>
      </c>
      <c r="AW10" s="9"/>
      <c r="AX10" s="10">
        <v>43109</v>
      </c>
      <c r="AY10" s="9">
        <v>7163.580078</v>
      </c>
      <c r="AZ10" s="11">
        <f t="shared" ref="AZ10:AZ73" si="32">(AY10-AY9)/AY9</f>
        <v>8.6483213594866731E-4</v>
      </c>
      <c r="BA10" s="9">
        <f t="shared" si="14"/>
        <v>100.37861404901827</v>
      </c>
      <c r="BB10" s="9">
        <f t="shared" si="15"/>
        <v>0.56038319314622964</v>
      </c>
      <c r="BC10" s="9">
        <f t="shared" ref="BC10:BC73" si="33">BC9*EXP(BB$3*(AX10-AX9)/365)-(BB10-BB9)*BA10</f>
        <v>-50.364683792659257</v>
      </c>
      <c r="BD10" s="9"/>
      <c r="BE10" s="10">
        <v>43298</v>
      </c>
      <c r="BF10" s="9">
        <v>7855.1201170000004</v>
      </c>
      <c r="BG10" s="11">
        <f t="shared" ref="BG10:BG73" si="34">(BF10-BF9)/BF9</f>
        <v>6.3286795631067993E-3</v>
      </c>
      <c r="BH10" s="9">
        <f t="shared" si="16"/>
        <v>100.37235128475245</v>
      </c>
      <c r="BI10" s="9">
        <f t="shared" si="17"/>
        <v>0.56014763596548989</v>
      </c>
      <c r="BJ10" s="9">
        <f t="shared" ref="BJ10:BJ73" si="35">BJ9*EXP(BI$3*(BE10-BE9)/365)-(BI10-BI9)*BH10</f>
        <v>-48.817101452907217</v>
      </c>
    </row>
    <row r="11" spans="1:62" x14ac:dyDescent="0.3">
      <c r="A11" s="10">
        <v>41792</v>
      </c>
      <c r="B11" s="9">
        <v>4237.2001950000003</v>
      </c>
      <c r="C11" s="11">
        <f t="shared" si="18"/>
        <v>-1.2774940603997617E-3</v>
      </c>
      <c r="D11" s="9">
        <f t="shared" si="0"/>
        <v>100.28686123756825</v>
      </c>
      <c r="E11" s="9">
        <f t="shared" si="1"/>
        <v>0.56382311362447624</v>
      </c>
      <c r="F11" s="9">
        <f t="shared" si="19"/>
        <v>-52.493277233703608</v>
      </c>
      <c r="G11" s="9"/>
      <c r="H11" s="10">
        <v>41977</v>
      </c>
      <c r="I11" s="9">
        <v>4769.4399409999996</v>
      </c>
      <c r="J11" s="11">
        <f t="shared" si="20"/>
        <v>-1.0535774176990327E-3</v>
      </c>
      <c r="K11" s="9">
        <f t="shared" si="2"/>
        <v>100.89034749124689</v>
      </c>
      <c r="L11" s="9">
        <f t="shared" si="3"/>
        <v>0.5861123892417297</v>
      </c>
      <c r="M11" s="9">
        <f t="shared" si="21"/>
        <v>-54.324197590237489</v>
      </c>
      <c r="N11" s="9"/>
      <c r="O11" s="10">
        <v>42167</v>
      </c>
      <c r="P11" s="9">
        <v>5051.1000979999999</v>
      </c>
      <c r="Q11" s="11">
        <f t="shared" si="22"/>
        <v>-6.1799523161015085E-3</v>
      </c>
      <c r="R11" s="9">
        <f t="shared" si="4"/>
        <v>100.74253979722705</v>
      </c>
      <c r="S11" s="9">
        <f t="shared" si="5"/>
        <v>0.57024089903347863</v>
      </c>
      <c r="T11" s="9">
        <f t="shared" si="23"/>
        <v>-51.222069799706418</v>
      </c>
      <c r="U11" s="9"/>
      <c r="V11" s="10">
        <v>42354</v>
      </c>
      <c r="W11" s="9">
        <v>5071.1298829999996</v>
      </c>
      <c r="X11" s="11">
        <f t="shared" si="24"/>
        <v>1.5168080394211218E-2</v>
      </c>
      <c r="Y11" s="9">
        <f t="shared" si="6"/>
        <v>102.79032125463029</v>
      </c>
      <c r="Z11" s="9">
        <f t="shared" si="7"/>
        <v>0.6315157219257338</v>
      </c>
      <c r="AA11" s="9">
        <f t="shared" si="25"/>
        <v>-57.72073607070871</v>
      </c>
      <c r="AB11" s="9"/>
      <c r="AC11" s="10">
        <v>42544</v>
      </c>
      <c r="AD11" s="9">
        <v>4910.0400390000004</v>
      </c>
      <c r="AE11" s="11">
        <f t="shared" si="26"/>
        <v>1.5873192297154361E-2</v>
      </c>
      <c r="AF11" s="9">
        <f t="shared" si="8"/>
        <v>101.50562159978982</v>
      </c>
      <c r="AG11" s="9">
        <f t="shared" si="9"/>
        <v>0.61078136558180396</v>
      </c>
      <c r="AH11" s="9">
        <f t="shared" si="27"/>
        <v>-56.952731829423584</v>
      </c>
      <c r="AI11" s="9"/>
      <c r="AJ11" s="10">
        <v>42732</v>
      </c>
      <c r="AK11" s="9">
        <v>5438.5600590000004</v>
      </c>
      <c r="AL11" s="11">
        <f t="shared" si="28"/>
        <v>-8.9075930717324048E-3</v>
      </c>
      <c r="AM11" s="9">
        <f t="shared" si="10"/>
        <v>99.837356709655921</v>
      </c>
      <c r="AN11" s="9">
        <f t="shared" si="11"/>
        <v>0.54762547769649572</v>
      </c>
      <c r="AO11" s="9">
        <f t="shared" si="29"/>
        <v>-51.603758602828712</v>
      </c>
      <c r="AP11" s="9"/>
      <c r="AQ11" s="10">
        <v>42922</v>
      </c>
      <c r="AR11" s="9">
        <v>6089.4599609999996</v>
      </c>
      <c r="AS11" s="11">
        <f t="shared" si="30"/>
        <v>-9.9823282220013274E-3</v>
      </c>
      <c r="AT11" s="9">
        <f t="shared" si="12"/>
        <v>99.170089967016423</v>
      </c>
      <c r="AU11" s="9">
        <f t="shared" si="13"/>
        <v>0.50865845084993255</v>
      </c>
      <c r="AV11" s="9">
        <f t="shared" si="31"/>
        <v>-47.78412686803955</v>
      </c>
      <c r="AW11" s="9"/>
      <c r="AX11" s="10">
        <v>43110</v>
      </c>
      <c r="AY11" s="9">
        <v>7153.5698240000002</v>
      </c>
      <c r="AZ11" s="11">
        <f t="shared" si="32"/>
        <v>-1.3973814616440453E-3</v>
      </c>
      <c r="BA11" s="9">
        <f t="shared" si="14"/>
        <v>100.23834683460065</v>
      </c>
      <c r="BB11" s="9">
        <f t="shared" si="15"/>
        <v>0.55608350367170711</v>
      </c>
      <c r="BC11" s="9">
        <f t="shared" si="33"/>
        <v>-49.935759851887042</v>
      </c>
      <c r="BD11" s="9"/>
      <c r="BE11" s="10">
        <v>43299</v>
      </c>
      <c r="BF11" s="9">
        <v>7854.4399409999996</v>
      </c>
      <c r="BG11" s="11">
        <f t="shared" si="34"/>
        <v>-8.6590146282896897E-5</v>
      </c>
      <c r="BH11" s="9">
        <f t="shared" si="16"/>
        <v>100.36366002817196</v>
      </c>
      <c r="BI11" s="9">
        <f t="shared" si="17"/>
        <v>0.55983074646585218</v>
      </c>
      <c r="BJ11" s="9">
        <f t="shared" si="35"/>
        <v>-48.78730348637405</v>
      </c>
    </row>
    <row r="12" spans="1:62" x14ac:dyDescent="0.3">
      <c r="A12" s="10">
        <v>41793</v>
      </c>
      <c r="B12" s="9">
        <v>4234.080078</v>
      </c>
      <c r="C12" s="11">
        <f t="shared" si="18"/>
        <v>-7.3636289446087663E-4</v>
      </c>
      <c r="D12" s="9">
        <f t="shared" si="0"/>
        <v>100.21301371415096</v>
      </c>
      <c r="E12" s="9">
        <f t="shared" si="1"/>
        <v>0.56038621726314619</v>
      </c>
      <c r="F12" s="9">
        <f t="shared" si="19"/>
        <v>-52.151012793807851</v>
      </c>
      <c r="G12" s="9"/>
      <c r="H12" s="10">
        <v>41978</v>
      </c>
      <c r="I12" s="9">
        <v>4780.7597660000001</v>
      </c>
      <c r="J12" s="11">
        <f t="shared" si="20"/>
        <v>2.3734075992216152E-3</v>
      </c>
      <c r="K12" s="9">
        <f t="shared" si="2"/>
        <v>101.12980140867072</v>
      </c>
      <c r="L12" s="9">
        <f t="shared" si="3"/>
        <v>0.59550730236653826</v>
      </c>
      <c r="M12" s="9">
        <f t="shared" si="21"/>
        <v>-55.276535835945865</v>
      </c>
      <c r="N12" s="9"/>
      <c r="O12" s="10">
        <v>42170</v>
      </c>
      <c r="P12" s="9">
        <v>5029.9702150000003</v>
      </c>
      <c r="Q12" s="11">
        <f t="shared" si="22"/>
        <v>-4.1832239690450914E-3</v>
      </c>
      <c r="R12" s="9">
        <f t="shared" si="4"/>
        <v>100.3211111900448</v>
      </c>
      <c r="S12" s="9">
        <f t="shared" si="5"/>
        <v>0.55780943185032439</v>
      </c>
      <c r="T12" s="9">
        <f t="shared" si="23"/>
        <v>-49.981246637171026</v>
      </c>
      <c r="U12" s="9"/>
      <c r="V12" s="10">
        <v>42355</v>
      </c>
      <c r="W12" s="9">
        <v>5002.5498049999997</v>
      </c>
      <c r="X12" s="11">
        <f t="shared" si="24"/>
        <v>-1.3523628773520799E-2</v>
      </c>
      <c r="Y12" s="9">
        <f t="shared" si="6"/>
        <v>101.40022310847172</v>
      </c>
      <c r="Z12" s="9">
        <f t="shared" si="7"/>
        <v>0.59117886204831827</v>
      </c>
      <c r="AA12" s="9">
        <f t="shared" si="25"/>
        <v>-53.63294161342975</v>
      </c>
      <c r="AB12" s="9"/>
      <c r="AC12" s="10">
        <v>42545</v>
      </c>
      <c r="AD12" s="9">
        <v>4707.9799800000001</v>
      </c>
      <c r="AE12" s="11">
        <f t="shared" si="26"/>
        <v>-4.1152425926276714E-2</v>
      </c>
      <c r="AF12" s="9">
        <f t="shared" si="8"/>
        <v>97.328419025803797</v>
      </c>
      <c r="AG12" s="9">
        <f t="shared" si="9"/>
        <v>0.43722681695687021</v>
      </c>
      <c r="AH12" s="9">
        <f t="shared" si="27"/>
        <v>-40.063282568341258</v>
      </c>
      <c r="AI12" s="9"/>
      <c r="AJ12" s="10">
        <v>42733</v>
      </c>
      <c r="AK12" s="9">
        <v>5432.0898440000001</v>
      </c>
      <c r="AL12" s="11">
        <f t="shared" si="28"/>
        <v>-1.1896926630961895E-3</v>
      </c>
      <c r="AM12" s="9">
        <f t="shared" si="10"/>
        <v>99.718580938875519</v>
      </c>
      <c r="AN12" s="9">
        <f t="shared" si="11"/>
        <v>0.54061771757968025</v>
      </c>
      <c r="AO12" s="9">
        <f t="shared" si="29"/>
        <v>-50.907075454404826</v>
      </c>
      <c r="AP12" s="9"/>
      <c r="AQ12" s="10">
        <v>42923</v>
      </c>
      <c r="AR12" s="9">
        <v>6153.080078</v>
      </c>
      <c r="AS12" s="11">
        <f t="shared" si="30"/>
        <v>1.0447579491031388E-2</v>
      </c>
      <c r="AT12" s="9">
        <f t="shared" si="12"/>
        <v>100.20617736507955</v>
      </c>
      <c r="AU12" s="9">
        <f t="shared" si="13"/>
        <v>0.56881606627911752</v>
      </c>
      <c r="AV12" s="9">
        <f t="shared" si="31"/>
        <v>-53.814255321189052</v>
      </c>
      <c r="AW12" s="9"/>
      <c r="AX12" s="10">
        <v>43111</v>
      </c>
      <c r="AY12" s="9">
        <v>7211.7797849999997</v>
      </c>
      <c r="AZ12" s="11">
        <f t="shared" si="32"/>
        <v>8.1371905820653342E-3</v>
      </c>
      <c r="BA12" s="9">
        <f t="shared" si="14"/>
        <v>101.05400536642495</v>
      </c>
      <c r="BB12" s="9">
        <f t="shared" si="15"/>
        <v>0.58026658449085433</v>
      </c>
      <c r="BC12" s="9">
        <f t="shared" si="33"/>
        <v>-52.381609227444422</v>
      </c>
      <c r="BD12" s="9"/>
      <c r="BE12" s="10">
        <v>43300</v>
      </c>
      <c r="BF12" s="9">
        <v>7825.2998049999997</v>
      </c>
      <c r="BG12" s="11">
        <f t="shared" si="34"/>
        <v>-3.7100208568518209E-3</v>
      </c>
      <c r="BH12" s="9">
        <f t="shared" si="16"/>
        <v>99.991308756197455</v>
      </c>
      <c r="BI12" s="9">
        <f t="shared" si="17"/>
        <v>0.55102942614871742</v>
      </c>
      <c r="BJ12" s="9">
        <f t="shared" si="35"/>
        <v>-47.909252947957071</v>
      </c>
    </row>
    <row r="13" spans="1:62" x14ac:dyDescent="0.3">
      <c r="A13" s="10">
        <v>41794</v>
      </c>
      <c r="B13" s="9">
        <v>4251.6401370000003</v>
      </c>
      <c r="C13" s="11">
        <f t="shared" si="18"/>
        <v>4.1473138619274753E-3</v>
      </c>
      <c r="D13" s="9">
        <f t="shared" si="0"/>
        <v>100.62862853507319</v>
      </c>
      <c r="E13" s="9">
        <f t="shared" si="1"/>
        <v>0.57898506201722388</v>
      </c>
      <c r="F13" s="9">
        <f t="shared" si="19"/>
        <v>-54.024732270092819</v>
      </c>
      <c r="G13" s="9"/>
      <c r="H13" s="10">
        <v>41981</v>
      </c>
      <c r="I13" s="9">
        <v>4740.6899409999996</v>
      </c>
      <c r="J13" s="11">
        <f t="shared" si="20"/>
        <v>-8.3814763680389644E-3</v>
      </c>
      <c r="K13" s="9">
        <f t="shared" si="2"/>
        <v>100.28218436805946</v>
      </c>
      <c r="L13" s="9">
        <f t="shared" si="3"/>
        <v>0.56148901357751346</v>
      </c>
      <c r="M13" s="9">
        <f t="shared" si="21"/>
        <v>-51.87192286321082</v>
      </c>
      <c r="N13" s="9"/>
      <c r="O13" s="10">
        <v>42171</v>
      </c>
      <c r="P13" s="9">
        <v>5055.5498049999997</v>
      </c>
      <c r="Q13" s="11">
        <f t="shared" si="22"/>
        <v>5.0854356798610521E-3</v>
      </c>
      <c r="R13" s="9">
        <f t="shared" si="4"/>
        <v>100.83128774833396</v>
      </c>
      <c r="S13" s="9">
        <f t="shared" si="5"/>
        <v>0.57250855619094443</v>
      </c>
      <c r="T13" s="9">
        <f t="shared" si="23"/>
        <v>-51.465432339249574</v>
      </c>
      <c r="U13" s="9"/>
      <c r="V13" s="10">
        <v>42356</v>
      </c>
      <c r="W13" s="9">
        <v>4923.080078</v>
      </c>
      <c r="X13" s="11">
        <f t="shared" si="24"/>
        <v>-1.5885844238985983E-2</v>
      </c>
      <c r="Y13" s="9">
        <f t="shared" si="6"/>
        <v>99.789394958372114</v>
      </c>
      <c r="Z13" s="9">
        <f t="shared" si="7"/>
        <v>0.54223954972142319</v>
      </c>
      <c r="AA13" s="9">
        <f t="shared" si="25"/>
        <v>-48.751521385431253</v>
      </c>
      <c r="AB13" s="9"/>
      <c r="AC13" s="10">
        <v>42548</v>
      </c>
      <c r="AD13" s="9">
        <v>4594.4399409999996</v>
      </c>
      <c r="AE13" s="11">
        <f t="shared" si="26"/>
        <v>-2.4116508456350834E-2</v>
      </c>
      <c r="AF13" s="9">
        <f t="shared" si="8"/>
        <v>94.981197385324748</v>
      </c>
      <c r="AG13" s="9">
        <f t="shared" si="9"/>
        <v>0.33765272972868521</v>
      </c>
      <c r="AH13" s="9">
        <f t="shared" si="27"/>
        <v>-30.610556148157727</v>
      </c>
      <c r="AI13" s="9"/>
      <c r="AJ13" s="10">
        <v>42734</v>
      </c>
      <c r="AK13" s="9">
        <v>5383.1201170000004</v>
      </c>
      <c r="AL13" s="11">
        <f t="shared" si="28"/>
        <v>-9.0148963670196054E-3</v>
      </c>
      <c r="AM13" s="9">
        <f t="shared" si="10"/>
        <v>98.81962826584531</v>
      </c>
      <c r="AN13" s="9">
        <f t="shared" si="11"/>
        <v>0.48808885257572371</v>
      </c>
      <c r="AO13" s="9">
        <f t="shared" si="29"/>
        <v>-45.718284656069443</v>
      </c>
      <c r="AP13" s="9"/>
      <c r="AQ13" s="10">
        <v>42926</v>
      </c>
      <c r="AR13" s="9">
        <v>6176.3901370000003</v>
      </c>
      <c r="AS13" s="11">
        <f t="shared" si="30"/>
        <v>3.7883561898282782E-3</v>
      </c>
      <c r="AT13" s="9">
        <f t="shared" si="12"/>
        <v>100.58579405735959</v>
      </c>
      <c r="AU13" s="9">
        <f t="shared" si="13"/>
        <v>0.5903041937631317</v>
      </c>
      <c r="AV13" s="9">
        <f t="shared" si="31"/>
        <v>-55.982290730193185</v>
      </c>
      <c r="AW13" s="9"/>
      <c r="AX13" s="10">
        <v>43112</v>
      </c>
      <c r="AY13" s="9">
        <v>7261.0600590000004</v>
      </c>
      <c r="AZ13" s="11">
        <f t="shared" si="32"/>
        <v>6.8333026616398057E-3</v>
      </c>
      <c r="BA13" s="9">
        <f t="shared" si="14"/>
        <v>101.7445379702647</v>
      </c>
      <c r="BB13" s="9">
        <f t="shared" si="15"/>
        <v>0.60046312128878365</v>
      </c>
      <c r="BC13" s="9">
        <f t="shared" si="33"/>
        <v>-54.438649245655078</v>
      </c>
      <c r="BD13" s="9"/>
      <c r="BE13" s="10">
        <v>43301</v>
      </c>
      <c r="BF13" s="9">
        <v>7820.2001950000003</v>
      </c>
      <c r="BG13" s="11">
        <f t="shared" si="34"/>
        <v>-6.5168237985474889E-4</v>
      </c>
      <c r="BH13" s="9">
        <f t="shared" si="16"/>
        <v>99.926146182142418</v>
      </c>
      <c r="BI13" s="9">
        <f t="shared" si="17"/>
        <v>0.54935851482739362</v>
      </c>
      <c r="BJ13" s="9">
        <f t="shared" si="35"/>
        <v>-47.744254132870751</v>
      </c>
    </row>
    <row r="14" spans="1:62" x14ac:dyDescent="0.3">
      <c r="A14" s="10">
        <v>41795</v>
      </c>
      <c r="B14" s="9">
        <v>4296.2299800000001</v>
      </c>
      <c r="C14" s="11">
        <f t="shared" si="18"/>
        <v>1.04876804158366E-2</v>
      </c>
      <c r="D14" s="9">
        <f t="shared" si="0"/>
        <v>101.68398943183297</v>
      </c>
      <c r="E14" s="9">
        <f t="shared" si="1"/>
        <v>0.62535410781310985</v>
      </c>
      <c r="F14" s="9">
        <f t="shared" si="19"/>
        <v>-58.741942072863772</v>
      </c>
      <c r="G14" s="9"/>
      <c r="H14" s="10">
        <v>41982</v>
      </c>
      <c r="I14" s="9">
        <v>4766.4702150000003</v>
      </c>
      <c r="J14" s="11">
        <f t="shared" si="20"/>
        <v>5.4380848190553801E-3</v>
      </c>
      <c r="K14" s="9">
        <f t="shared" si="2"/>
        <v>100.82752739249312</v>
      </c>
      <c r="L14" s="9">
        <f t="shared" si="3"/>
        <v>0.58341205790087669</v>
      </c>
      <c r="M14" s="9">
        <f t="shared" si="21"/>
        <v>-54.084500981912079</v>
      </c>
      <c r="N14" s="9"/>
      <c r="O14" s="10">
        <v>42172</v>
      </c>
      <c r="P14" s="9">
        <v>5064.8798829999996</v>
      </c>
      <c r="Q14" s="11">
        <f t="shared" si="22"/>
        <v>1.8455120332851627E-3</v>
      </c>
      <c r="R14" s="9">
        <f t="shared" si="4"/>
        <v>101.01737310320516</v>
      </c>
      <c r="S14" s="9">
        <f t="shared" si="5"/>
        <v>0.57781595177730183</v>
      </c>
      <c r="T14" s="9">
        <f t="shared" si="23"/>
        <v>-52.003686560630165</v>
      </c>
      <c r="U14" s="9"/>
      <c r="V14" s="10">
        <v>42359</v>
      </c>
      <c r="W14" s="9">
        <v>4968.919922</v>
      </c>
      <c r="X14" s="11">
        <f t="shared" si="24"/>
        <v>9.3112123454677804E-3</v>
      </c>
      <c r="Y14" s="9">
        <f t="shared" si="6"/>
        <v>100.71855520465527</v>
      </c>
      <c r="Z14" s="9">
        <f t="shared" si="7"/>
        <v>0.57046691407165206</v>
      </c>
      <c r="AA14" s="9">
        <f t="shared" si="25"/>
        <v>-51.600551572085507</v>
      </c>
      <c r="AB14" s="9"/>
      <c r="AC14" s="10">
        <v>42549</v>
      </c>
      <c r="AD14" s="9">
        <v>4691.8701170000004</v>
      </c>
      <c r="AE14" s="11">
        <f t="shared" si="26"/>
        <v>2.1206105042434108E-2</v>
      </c>
      <c r="AF14" s="9">
        <f t="shared" si="8"/>
        <v>96.995378634134113</v>
      </c>
      <c r="AG14" s="9">
        <f t="shared" si="9"/>
        <v>0.42118945813344494</v>
      </c>
      <c r="AH14" s="9">
        <f t="shared" si="27"/>
        <v>-38.714490743544118</v>
      </c>
      <c r="AI14" s="9"/>
      <c r="AJ14" s="10">
        <v>42738</v>
      </c>
      <c r="AK14" s="9">
        <v>5429.080078</v>
      </c>
      <c r="AL14" s="11">
        <f t="shared" si="28"/>
        <v>8.5377922099224759E-3</v>
      </c>
      <c r="AM14" s="9">
        <f t="shared" si="10"/>
        <v>99.663329718240874</v>
      </c>
      <c r="AN14" s="9">
        <f t="shared" si="11"/>
        <v>0.53637881493532058</v>
      </c>
      <c r="AO14" s="9">
        <f t="shared" si="29"/>
        <v>-50.538539048991964</v>
      </c>
      <c r="AP14" s="9"/>
      <c r="AQ14" s="10">
        <v>42927</v>
      </c>
      <c r="AR14" s="9">
        <v>6193.2998049999997</v>
      </c>
      <c r="AS14" s="11">
        <f t="shared" si="30"/>
        <v>2.7377914323612825E-3</v>
      </c>
      <c r="AT14" s="9">
        <f t="shared" si="12"/>
        <v>100.86117698254708</v>
      </c>
      <c r="AU14" s="9">
        <f t="shared" si="13"/>
        <v>0.60592301883438926</v>
      </c>
      <c r="AV14" s="9">
        <f t="shared" si="31"/>
        <v>-57.55992449932365</v>
      </c>
      <c r="AW14" s="9"/>
      <c r="AX14" s="10">
        <v>43116</v>
      </c>
      <c r="AY14" s="9">
        <v>7223.6899409999996</v>
      </c>
      <c r="AZ14" s="11">
        <f t="shared" si="32"/>
        <v>-5.1466476928091094E-3</v>
      </c>
      <c r="BA14" s="9">
        <f t="shared" si="14"/>
        <v>101.22089467866411</v>
      </c>
      <c r="BB14" s="9">
        <f t="shared" si="15"/>
        <v>0.5850244520507194</v>
      </c>
      <c r="BC14" s="9">
        <f t="shared" si="33"/>
        <v>-52.884882887344006</v>
      </c>
      <c r="BD14" s="9"/>
      <c r="BE14" s="10">
        <v>43304</v>
      </c>
      <c r="BF14" s="9">
        <v>7841.8701170000004</v>
      </c>
      <c r="BG14" s="11">
        <f t="shared" si="34"/>
        <v>2.7710188306758611E-3</v>
      </c>
      <c r="BH14" s="9">
        <f t="shared" si="16"/>
        <v>100.20304341489002</v>
      </c>
      <c r="BI14" s="9">
        <f t="shared" si="17"/>
        <v>0.55546619574928879</v>
      </c>
      <c r="BJ14" s="9">
        <f t="shared" si="35"/>
        <v>-48.362148990226167</v>
      </c>
    </row>
    <row r="15" spans="1:62" x14ac:dyDescent="0.3">
      <c r="A15" s="10">
        <v>41796</v>
      </c>
      <c r="B15" s="9">
        <v>4321.3999020000001</v>
      </c>
      <c r="C15" s="11">
        <f t="shared" si="18"/>
        <v>5.8586067592219637E-3</v>
      </c>
      <c r="D15" s="9">
        <f t="shared" si="0"/>
        <v>102.27971593962295</v>
      </c>
      <c r="E15" s="9">
        <f t="shared" si="1"/>
        <v>0.65076423379062498</v>
      </c>
      <c r="F15" s="9">
        <f t="shared" si="19"/>
        <v>-61.343296641852497</v>
      </c>
      <c r="G15" s="9"/>
      <c r="H15" s="10">
        <v>41983</v>
      </c>
      <c r="I15" s="9">
        <v>4684.0200199999999</v>
      </c>
      <c r="J15" s="11">
        <f t="shared" si="20"/>
        <v>-1.7297956617987668E-2</v>
      </c>
      <c r="K15" s="9">
        <f t="shared" si="2"/>
        <v>99.08341719775882</v>
      </c>
      <c r="L15" s="9">
        <f t="shared" si="3"/>
        <v>0.51171106562128943</v>
      </c>
      <c r="M15" s="9">
        <f t="shared" si="21"/>
        <v>-46.982344346777253</v>
      </c>
      <c r="N15" s="9"/>
      <c r="O15" s="10">
        <v>42173</v>
      </c>
      <c r="P15" s="9">
        <v>5132.9501950000003</v>
      </c>
      <c r="Q15" s="11">
        <f t="shared" si="22"/>
        <v>1.3439669562248678E-2</v>
      </c>
      <c r="R15" s="9">
        <f t="shared" si="4"/>
        <v>102.37501321775864</v>
      </c>
      <c r="S15" s="9">
        <f t="shared" si="5"/>
        <v>0.61629324094949678</v>
      </c>
      <c r="T15" s="9">
        <f t="shared" si="23"/>
        <v>-55.944936729935392</v>
      </c>
      <c r="U15" s="9"/>
      <c r="V15" s="10">
        <v>42360</v>
      </c>
      <c r="W15" s="9">
        <v>5001.1098629999997</v>
      </c>
      <c r="X15" s="11">
        <f t="shared" si="24"/>
        <v>6.478257147489533E-3</v>
      </c>
      <c r="Y15" s="9">
        <f t="shared" si="6"/>
        <v>101.37103590479464</v>
      </c>
      <c r="Z15" s="9">
        <f t="shared" si="7"/>
        <v>0.5902274260449788</v>
      </c>
      <c r="AA15" s="9">
        <f t="shared" si="25"/>
        <v>-53.605815755017247</v>
      </c>
      <c r="AB15" s="9"/>
      <c r="AC15" s="10">
        <v>42550</v>
      </c>
      <c r="AD15" s="9">
        <v>4779.25</v>
      </c>
      <c r="AE15" s="11">
        <f t="shared" si="26"/>
        <v>1.8623679006670935E-2</v>
      </c>
      <c r="AF15" s="9">
        <f t="shared" si="8"/>
        <v>98.801789430946727</v>
      </c>
      <c r="AG15" s="9">
        <f t="shared" si="9"/>
        <v>0.49823413514114068</v>
      </c>
      <c r="AH15" s="9">
        <f t="shared" si="27"/>
        <v>-46.328233737195042</v>
      </c>
      <c r="AI15" s="9"/>
      <c r="AJ15" s="10">
        <v>42739</v>
      </c>
      <c r="AK15" s="9">
        <v>5477</v>
      </c>
      <c r="AL15" s="11">
        <f t="shared" si="28"/>
        <v>8.8265270195928107E-3</v>
      </c>
      <c r="AM15" s="9">
        <f t="shared" si="10"/>
        <v>100.54301079086152</v>
      </c>
      <c r="AN15" s="9">
        <f t="shared" si="11"/>
        <v>0.58707749560841149</v>
      </c>
      <c r="AO15" s="9">
        <f t="shared" si="29"/>
        <v>-55.63801401592842</v>
      </c>
      <c r="AP15" s="9"/>
      <c r="AQ15" s="10">
        <v>42928</v>
      </c>
      <c r="AR15" s="9">
        <v>6261.169922</v>
      </c>
      <c r="AS15" s="11">
        <f t="shared" si="30"/>
        <v>1.0958635805940998E-2</v>
      </c>
      <c r="AT15" s="9">
        <f t="shared" si="12"/>
        <v>101.96647788805737</v>
      </c>
      <c r="AU15" s="9">
        <f t="shared" si="13"/>
        <v>0.66666512490519958</v>
      </c>
      <c r="AV15" s="9">
        <f t="shared" si="31"/>
        <v>-63.755948639822591</v>
      </c>
      <c r="AW15" s="9"/>
      <c r="AX15" s="10">
        <v>43117</v>
      </c>
      <c r="AY15" s="9">
        <v>7298.2797849999997</v>
      </c>
      <c r="AZ15" s="11">
        <f t="shared" si="32"/>
        <v>1.0325726132934544E-2</v>
      </c>
      <c r="BA15" s="9">
        <f t="shared" si="14"/>
        <v>102.26607391604661</v>
      </c>
      <c r="BB15" s="9">
        <f t="shared" si="15"/>
        <v>0.61576193770393683</v>
      </c>
      <c r="BC15" s="9">
        <f t="shared" si="33"/>
        <v>-56.030458263159403</v>
      </c>
      <c r="BD15" s="9"/>
      <c r="BE15" s="10">
        <v>43305</v>
      </c>
      <c r="BF15" s="9">
        <v>7840.7700199999999</v>
      </c>
      <c r="BG15" s="11">
        <f t="shared" si="34"/>
        <v>-1.4028503196139583E-4</v>
      </c>
      <c r="BH15" s="9">
        <f t="shared" si="16"/>
        <v>100.18898642774192</v>
      </c>
      <c r="BI15" s="9">
        <f t="shared" si="17"/>
        <v>0.5550057309225449</v>
      </c>
      <c r="BJ15" s="9">
        <f t="shared" si="35"/>
        <v>-48.318003012363313</v>
      </c>
    </row>
    <row r="16" spans="1:62" x14ac:dyDescent="0.3">
      <c r="A16" s="10">
        <v>41799</v>
      </c>
      <c r="B16" s="9">
        <v>4336.2402339999999</v>
      </c>
      <c r="C16" s="11">
        <f t="shared" si="18"/>
        <v>3.4341491962202948E-3</v>
      </c>
      <c r="D16" s="9">
        <f t="shared" si="0"/>
        <v>102.63095974390666</v>
      </c>
      <c r="E16" s="9">
        <f t="shared" si="1"/>
        <v>0.6658900788217833</v>
      </c>
      <c r="F16" s="9">
        <f t="shared" si="19"/>
        <v>-62.903239972750214</v>
      </c>
      <c r="G16" s="9"/>
      <c r="H16" s="10">
        <v>41984</v>
      </c>
      <c r="I16" s="9">
        <v>4708.1601559999999</v>
      </c>
      <c r="J16" s="11">
        <f t="shared" si="20"/>
        <v>5.1537217810610431E-3</v>
      </c>
      <c r="K16" s="9">
        <f t="shared" si="2"/>
        <v>99.594065563112849</v>
      </c>
      <c r="L16" s="9">
        <f t="shared" si="3"/>
        <v>0.53278129777010697</v>
      </c>
      <c r="M16" s="9">
        <f t="shared" si="21"/>
        <v>-49.082745249785248</v>
      </c>
      <c r="N16" s="9"/>
      <c r="O16" s="10">
        <v>42174</v>
      </c>
      <c r="P16" s="9">
        <v>5117</v>
      </c>
      <c r="Q16" s="11">
        <f t="shared" si="22"/>
        <v>-3.1074127731723195E-3</v>
      </c>
      <c r="R16" s="9">
        <f t="shared" si="4"/>
        <v>102.05689179403208</v>
      </c>
      <c r="S16" s="9">
        <f t="shared" si="5"/>
        <v>0.6074333853388032</v>
      </c>
      <c r="T16" s="9">
        <f t="shared" si="23"/>
        <v>-55.043026558795553</v>
      </c>
      <c r="U16" s="9"/>
      <c r="V16" s="10">
        <v>42361</v>
      </c>
      <c r="W16" s="9">
        <v>5045.9301759999998</v>
      </c>
      <c r="X16" s="11">
        <f t="shared" si="24"/>
        <v>8.9620732652959459E-3</v>
      </c>
      <c r="Y16" s="9">
        <f t="shared" si="6"/>
        <v>102.27953055555237</v>
      </c>
      <c r="Z16" s="9">
        <f t="shared" si="7"/>
        <v>0.61730469035664637</v>
      </c>
      <c r="AA16" s="9">
        <f t="shared" si="25"/>
        <v>-56.377468661540178</v>
      </c>
      <c r="AB16" s="9"/>
      <c r="AC16" s="10">
        <v>42551</v>
      </c>
      <c r="AD16" s="9">
        <v>4842.669922</v>
      </c>
      <c r="AE16" s="11">
        <f t="shared" si="26"/>
        <v>1.3269848197939017E-2</v>
      </c>
      <c r="AF16" s="9">
        <f t="shared" si="8"/>
        <v>100.11287417838012</v>
      </c>
      <c r="AG16" s="9">
        <f t="shared" si="9"/>
        <v>0.55371908845574258</v>
      </c>
      <c r="AH16" s="9">
        <f t="shared" si="27"/>
        <v>-51.884895826311435</v>
      </c>
      <c r="AI16" s="9"/>
      <c r="AJ16" s="10">
        <v>42740</v>
      </c>
      <c r="AK16" s="9">
        <v>5487.9399409999996</v>
      </c>
      <c r="AL16" s="11">
        <f t="shared" si="28"/>
        <v>1.9974330838049359E-3</v>
      </c>
      <c r="AM16" s="9">
        <f t="shared" si="10"/>
        <v>100.74383872696053</v>
      </c>
      <c r="AN16" s="9">
        <f t="shared" si="11"/>
        <v>0.59843391616329145</v>
      </c>
      <c r="AO16" s="9">
        <f t="shared" si="29"/>
        <v>-56.784389957534849</v>
      </c>
      <c r="AP16" s="9"/>
      <c r="AQ16" s="10">
        <v>42929</v>
      </c>
      <c r="AR16" s="9">
        <v>6274.4399409999996</v>
      </c>
      <c r="AS16" s="11">
        <f t="shared" si="30"/>
        <v>2.1194152475198695E-3</v>
      </c>
      <c r="AT16" s="9">
        <f t="shared" si="12"/>
        <v>102.18258719602922</v>
      </c>
      <c r="AU16" s="9">
        <f t="shared" si="13"/>
        <v>0.67821636898756132</v>
      </c>
      <c r="AV16" s="9">
        <f t="shared" si="31"/>
        <v>-64.93890480680804</v>
      </c>
      <c r="AW16" s="9"/>
      <c r="AX16" s="10">
        <v>43118</v>
      </c>
      <c r="AY16" s="9">
        <v>7296.0498049999997</v>
      </c>
      <c r="AZ16" s="11">
        <f t="shared" si="32"/>
        <v>-3.0554871362746322E-4</v>
      </c>
      <c r="BA16" s="9">
        <f t="shared" si="14"/>
        <v>102.23482664871382</v>
      </c>
      <c r="BB16" s="9">
        <f t="shared" si="15"/>
        <v>0.61491194984834652</v>
      </c>
      <c r="BC16" s="9">
        <f t="shared" si="33"/>
        <v>-55.945862570976864</v>
      </c>
      <c r="BD16" s="9"/>
      <c r="BE16" s="10">
        <v>43306</v>
      </c>
      <c r="BF16" s="9">
        <v>7932.2402339999999</v>
      </c>
      <c r="BG16" s="11">
        <f t="shared" si="34"/>
        <v>1.1665973337654399E-2</v>
      </c>
      <c r="BH16" s="9">
        <f t="shared" si="16"/>
        <v>101.35778847213457</v>
      </c>
      <c r="BI16" s="9">
        <f t="shared" si="17"/>
        <v>0.58228698223917763</v>
      </c>
      <c r="BJ16" s="9">
        <f t="shared" si="35"/>
        <v>-51.085156024728406</v>
      </c>
    </row>
    <row r="17" spans="1:62" x14ac:dyDescent="0.3">
      <c r="A17" s="10">
        <v>41800</v>
      </c>
      <c r="B17" s="9">
        <v>4338</v>
      </c>
      <c r="C17" s="11">
        <f t="shared" si="18"/>
        <v>4.0582760756703199E-4</v>
      </c>
      <c r="D17" s="9">
        <f t="shared" si="0"/>
        <v>102.67261022076184</v>
      </c>
      <c r="E17" s="9">
        <f t="shared" si="1"/>
        <v>0.66780655798866873</v>
      </c>
      <c r="F17" s="9">
        <f t="shared" si="19"/>
        <v>-63.102595009022949</v>
      </c>
      <c r="G17" s="9"/>
      <c r="H17" s="10">
        <v>41985</v>
      </c>
      <c r="I17" s="9">
        <v>4653.6000979999999</v>
      </c>
      <c r="J17" s="11">
        <f t="shared" si="20"/>
        <v>-1.1588403153718042E-2</v>
      </c>
      <c r="K17" s="9">
        <f t="shared" si="2"/>
        <v>98.439929379649683</v>
      </c>
      <c r="L17" s="9">
        <f t="shared" si="3"/>
        <v>0.48408773423800527</v>
      </c>
      <c r="M17" s="9">
        <f t="shared" si="21"/>
        <v>-44.291371435009331</v>
      </c>
      <c r="N17" s="9"/>
      <c r="O17" s="10">
        <v>42177</v>
      </c>
      <c r="P17" s="9">
        <v>5153.9702150000003</v>
      </c>
      <c r="Q17" s="11">
        <f t="shared" si="22"/>
        <v>7.2249785030291738E-3</v>
      </c>
      <c r="R17" s="9">
        <f t="shared" si="4"/>
        <v>102.79425064332995</v>
      </c>
      <c r="S17" s="9">
        <f t="shared" si="5"/>
        <v>0.62825928154597122</v>
      </c>
      <c r="T17" s="9">
        <f t="shared" si="23"/>
        <v>-57.190595498289269</v>
      </c>
      <c r="U17" s="9"/>
      <c r="V17" s="10">
        <v>42362</v>
      </c>
      <c r="W17" s="9">
        <v>5048.4902339999999</v>
      </c>
      <c r="X17" s="11">
        <f t="shared" si="24"/>
        <v>5.0735105534683211E-4</v>
      </c>
      <c r="Y17" s="9">
        <f t="shared" si="6"/>
        <v>102.3314221833201</v>
      </c>
      <c r="Z17" s="9">
        <f t="shared" si="7"/>
        <v>0.61889530627997047</v>
      </c>
      <c r="AA17" s="9">
        <f t="shared" si="25"/>
        <v>-56.542555581002951</v>
      </c>
      <c r="AB17" s="9"/>
      <c r="AC17" s="10">
        <v>42552</v>
      </c>
      <c r="AD17" s="9">
        <v>4862.5698240000002</v>
      </c>
      <c r="AE17" s="11">
        <f t="shared" si="26"/>
        <v>4.1092831682778708E-3</v>
      </c>
      <c r="AF17" s="9">
        <f t="shared" si="8"/>
        <v>100.52426632716927</v>
      </c>
      <c r="AG17" s="9">
        <f t="shared" si="9"/>
        <v>0.57082949198592015</v>
      </c>
      <c r="AH17" s="9">
        <f t="shared" si="27"/>
        <v>-53.607038887551283</v>
      </c>
      <c r="AI17" s="9"/>
      <c r="AJ17" s="10">
        <v>42741</v>
      </c>
      <c r="AK17" s="9">
        <v>5521.0600590000004</v>
      </c>
      <c r="AL17" s="11">
        <f t="shared" si="28"/>
        <v>6.0350729701982965E-3</v>
      </c>
      <c r="AM17" s="9">
        <f t="shared" si="10"/>
        <v>101.35183514497564</v>
      </c>
      <c r="AN17" s="9">
        <f t="shared" si="11"/>
        <v>0.63240025925777099</v>
      </c>
      <c r="AO17" s="9">
        <f t="shared" si="29"/>
        <v>-60.229274816342411</v>
      </c>
      <c r="AP17" s="9"/>
      <c r="AQ17" s="10">
        <v>42930</v>
      </c>
      <c r="AR17" s="9">
        <v>6312.4702150000003</v>
      </c>
      <c r="AS17" s="11">
        <f t="shared" si="30"/>
        <v>6.0611424059530492E-3</v>
      </c>
      <c r="AT17" s="9">
        <f t="shared" si="12"/>
        <v>102.80193040843307</v>
      </c>
      <c r="AU17" s="9">
        <f t="shared" si="13"/>
        <v>0.71007442880589078</v>
      </c>
      <c r="AV17" s="9">
        <f t="shared" si="31"/>
        <v>-68.216643632152483</v>
      </c>
      <c r="AW17" s="9"/>
      <c r="AX17" s="10">
        <v>43119</v>
      </c>
      <c r="AY17" s="9">
        <v>7336.3798829999996</v>
      </c>
      <c r="AZ17" s="11">
        <f t="shared" si="32"/>
        <v>5.5276593605983419E-3</v>
      </c>
      <c r="BA17" s="9">
        <f t="shared" si="14"/>
        <v>102.79994594521773</v>
      </c>
      <c r="BB17" s="9">
        <f t="shared" si="15"/>
        <v>0.63129903694394696</v>
      </c>
      <c r="BC17" s="9">
        <f t="shared" si="33"/>
        <v>-57.632753430884677</v>
      </c>
      <c r="BD17" s="9"/>
      <c r="BE17" s="10">
        <v>43307</v>
      </c>
      <c r="BF17" s="9">
        <v>7852.1801759999998</v>
      </c>
      <c r="BG17" s="11">
        <f t="shared" si="34"/>
        <v>-1.0092994619204574E-2</v>
      </c>
      <c r="BH17" s="9">
        <f t="shared" si="16"/>
        <v>100.33478485847085</v>
      </c>
      <c r="BI17" s="9">
        <f t="shared" si="17"/>
        <v>0.55821078107408795</v>
      </c>
      <c r="BJ17" s="9">
        <f t="shared" si="35"/>
        <v>-48.671574993732222</v>
      </c>
    </row>
    <row r="18" spans="1:62" x14ac:dyDescent="0.3">
      <c r="A18" s="10">
        <v>41801</v>
      </c>
      <c r="B18" s="9">
        <v>4331.9301759999998</v>
      </c>
      <c r="C18" s="11">
        <f t="shared" si="18"/>
        <v>-1.3992217611803028E-3</v>
      </c>
      <c r="D18" s="9">
        <f t="shared" si="0"/>
        <v>102.52894847026377</v>
      </c>
      <c r="E18" s="9">
        <f t="shared" si="1"/>
        <v>0.66201182527432789</v>
      </c>
      <c r="F18" s="9">
        <f t="shared" si="19"/>
        <v>-62.511060467771316</v>
      </c>
      <c r="G18" s="9"/>
      <c r="H18" s="10">
        <v>41988</v>
      </c>
      <c r="I18" s="9">
        <v>4605.1601559999999</v>
      </c>
      <c r="J18" s="11">
        <f t="shared" si="20"/>
        <v>-1.040913292502685E-2</v>
      </c>
      <c r="K18" s="9">
        <f t="shared" si="2"/>
        <v>97.415255069606658</v>
      </c>
      <c r="L18" s="9">
        <f t="shared" si="3"/>
        <v>0.43938620955995106</v>
      </c>
      <c r="M18" s="9">
        <f t="shared" si="21"/>
        <v>-39.942221923161227</v>
      </c>
      <c r="N18" s="9"/>
      <c r="O18" s="10">
        <v>42178</v>
      </c>
      <c r="P18" s="9">
        <v>5160.0898440000001</v>
      </c>
      <c r="Q18" s="11">
        <f t="shared" si="22"/>
        <v>1.1873621198254837E-3</v>
      </c>
      <c r="R18" s="9">
        <f t="shared" si="4"/>
        <v>102.91630464267966</v>
      </c>
      <c r="S18" s="9">
        <f t="shared" si="5"/>
        <v>0.6317487628031726</v>
      </c>
      <c r="T18" s="9">
        <f t="shared" si="23"/>
        <v>-57.552070361139926</v>
      </c>
      <c r="U18" s="9"/>
      <c r="V18" s="10">
        <v>42366</v>
      </c>
      <c r="W18" s="9">
        <v>5040.9902339999999</v>
      </c>
      <c r="X18" s="11">
        <f t="shared" si="24"/>
        <v>-1.4855926529261858E-3</v>
      </c>
      <c r="Y18" s="9">
        <f t="shared" si="6"/>
        <v>102.17939937436107</v>
      </c>
      <c r="Z18" s="9">
        <f t="shared" si="7"/>
        <v>0.61463648912994107</v>
      </c>
      <c r="AA18" s="9">
        <f t="shared" si="25"/>
        <v>-56.116687633225631</v>
      </c>
      <c r="AB18" s="9"/>
      <c r="AC18" s="10">
        <v>42556</v>
      </c>
      <c r="AD18" s="9">
        <v>4822.8999020000001</v>
      </c>
      <c r="AE18" s="11">
        <f t="shared" si="26"/>
        <v>-8.1582215651079641E-3</v>
      </c>
      <c r="AF18" s="9">
        <f t="shared" si="8"/>
        <v>99.704167089802297</v>
      </c>
      <c r="AG18" s="9">
        <f t="shared" si="9"/>
        <v>0.53558207292750071</v>
      </c>
      <c r="AH18" s="9">
        <f t="shared" si="27"/>
        <v>-50.101537168571056</v>
      </c>
      <c r="AI18" s="9"/>
      <c r="AJ18" s="10">
        <v>42744</v>
      </c>
      <c r="AK18" s="9">
        <v>5531.8198240000002</v>
      </c>
      <c r="AL18" s="11">
        <f t="shared" si="28"/>
        <v>1.9488585316981041E-3</v>
      </c>
      <c r="AM18" s="9">
        <f t="shared" si="10"/>
        <v>101.54935553360119</v>
      </c>
      <c r="AN18" s="9">
        <f t="shared" si="11"/>
        <v>0.64348753047999063</v>
      </c>
      <c r="AO18" s="9">
        <f t="shared" si="29"/>
        <v>-61.362606048373998</v>
      </c>
      <c r="AP18" s="9"/>
      <c r="AQ18" s="10">
        <v>42933</v>
      </c>
      <c r="AR18" s="9">
        <v>6314.4301759999998</v>
      </c>
      <c r="AS18" s="11">
        <f t="shared" si="30"/>
        <v>3.1049033630958149E-4</v>
      </c>
      <c r="AT18" s="9">
        <f t="shared" si="12"/>
        <v>102.83384941437885</v>
      </c>
      <c r="AU18" s="9">
        <f t="shared" si="13"/>
        <v>0.71249174828176975</v>
      </c>
      <c r="AV18" s="9">
        <f t="shared" si="31"/>
        <v>-68.47363668871688</v>
      </c>
      <c r="AW18" s="9"/>
      <c r="AX18" s="10">
        <v>43122</v>
      </c>
      <c r="AY18" s="9">
        <v>7408.0297849999997</v>
      </c>
      <c r="AZ18" s="11">
        <f t="shared" si="32"/>
        <v>9.7663838490736603E-3</v>
      </c>
      <c r="BA18" s="9">
        <f t="shared" si="14"/>
        <v>103.80392967698275</v>
      </c>
      <c r="BB18" s="9">
        <f t="shared" si="15"/>
        <v>0.66005689918905575</v>
      </c>
      <c r="BC18" s="9">
        <f t="shared" si="33"/>
        <v>-60.62503838701614</v>
      </c>
      <c r="BD18" s="9"/>
      <c r="BE18" s="10">
        <v>43308</v>
      </c>
      <c r="BF18" s="9">
        <v>7737.419922</v>
      </c>
      <c r="BG18" s="11">
        <f t="shared" si="34"/>
        <v>-1.4615081598708314E-2</v>
      </c>
      <c r="BH18" s="9">
        <f t="shared" si="16"/>
        <v>98.86838379057545</v>
      </c>
      <c r="BI18" s="9">
        <f t="shared" si="17"/>
        <v>0.52275769989287679</v>
      </c>
      <c r="BJ18" s="9">
        <f t="shared" si="35"/>
        <v>-45.168386399762468</v>
      </c>
    </row>
    <row r="19" spans="1:62" x14ac:dyDescent="0.3">
      <c r="A19" s="10">
        <v>41802</v>
      </c>
      <c r="B19" s="9">
        <v>4297.6298829999996</v>
      </c>
      <c r="C19" s="11">
        <f t="shared" si="18"/>
        <v>-7.918016128245239E-3</v>
      </c>
      <c r="D19" s="9">
        <f t="shared" si="0"/>
        <v>101.71712260266419</v>
      </c>
      <c r="E19" s="9">
        <f t="shared" si="1"/>
        <v>0.62733965412811044</v>
      </c>
      <c r="F19" s="9">
        <f t="shared" si="19"/>
        <v>-58.986875984868732</v>
      </c>
      <c r="G19" s="9"/>
      <c r="H19" s="10">
        <v>41989</v>
      </c>
      <c r="I19" s="9">
        <v>4547.830078</v>
      </c>
      <c r="J19" s="11">
        <f t="shared" si="20"/>
        <v>-1.2449095375175039E-2</v>
      </c>
      <c r="K19" s="9">
        <f t="shared" si="2"/>
        <v>96.202523268248115</v>
      </c>
      <c r="L19" s="9">
        <f t="shared" si="3"/>
        <v>0.38745750153850522</v>
      </c>
      <c r="M19" s="9">
        <f t="shared" si="21"/>
        <v>-34.948190676342058</v>
      </c>
      <c r="N19" s="9"/>
      <c r="O19" s="10">
        <v>42179</v>
      </c>
      <c r="P19" s="9">
        <v>5122.4101559999999</v>
      </c>
      <c r="Q19" s="11">
        <f t="shared" si="22"/>
        <v>-7.3021379741697711E-3</v>
      </c>
      <c r="R19" s="9">
        <f t="shared" si="4"/>
        <v>102.16479558638713</v>
      </c>
      <c r="S19" s="9">
        <f t="shared" si="5"/>
        <v>0.61070301954554695</v>
      </c>
      <c r="T19" s="9">
        <f t="shared" si="23"/>
        <v>-55.404301505437211</v>
      </c>
      <c r="U19" s="9"/>
      <c r="V19" s="10">
        <v>42367</v>
      </c>
      <c r="W19" s="9">
        <v>5107.9399409999996</v>
      </c>
      <c r="X19" s="11">
        <f t="shared" si="24"/>
        <v>1.3281062627029831E-2</v>
      </c>
      <c r="Y19" s="9">
        <f t="shared" si="6"/>
        <v>103.53645037664425</v>
      </c>
      <c r="Z19" s="9">
        <f t="shared" si="7"/>
        <v>0.65445360801831876</v>
      </c>
      <c r="AA19" s="9">
        <f t="shared" si="25"/>
        <v>-60.241516999785894</v>
      </c>
      <c r="AB19" s="9"/>
      <c r="AC19" s="10">
        <v>42557</v>
      </c>
      <c r="AD19" s="9">
        <v>4859.1601559999999</v>
      </c>
      <c r="AE19" s="11">
        <f t="shared" si="26"/>
        <v>7.5183509375683086E-3</v>
      </c>
      <c r="AF19" s="9">
        <f t="shared" si="8"/>
        <v>100.45377800792139</v>
      </c>
      <c r="AG19" s="9">
        <f t="shared" si="9"/>
        <v>0.56746792342848806</v>
      </c>
      <c r="AH19" s="9">
        <f t="shared" si="27"/>
        <v>-53.30665032598003</v>
      </c>
      <c r="AI19" s="9"/>
      <c r="AJ19" s="10">
        <v>42745</v>
      </c>
      <c r="AK19" s="9">
        <v>5551.8198240000002</v>
      </c>
      <c r="AL19" s="11">
        <f t="shared" si="28"/>
        <v>3.6154467492287581E-3</v>
      </c>
      <c r="AM19" s="9">
        <f t="shared" si="10"/>
        <v>101.91650182095142</v>
      </c>
      <c r="AN19" s="9">
        <f t="shared" si="11"/>
        <v>0.66351539024553985</v>
      </c>
      <c r="AO19" s="9">
        <f t="shared" si="29"/>
        <v>-63.406297257390349</v>
      </c>
      <c r="AP19" s="9"/>
      <c r="AQ19" s="10">
        <v>42934</v>
      </c>
      <c r="AR19" s="9">
        <v>6344.3100590000004</v>
      </c>
      <c r="AS19" s="11">
        <f t="shared" si="30"/>
        <v>4.7319999061148097E-3</v>
      </c>
      <c r="AT19" s="9">
        <f t="shared" si="12"/>
        <v>103.32045918015314</v>
      </c>
      <c r="AU19" s="9">
        <f t="shared" si="13"/>
        <v>0.73661032508572588</v>
      </c>
      <c r="AV19" s="9">
        <f t="shared" si="31"/>
        <v>-70.968393161765221</v>
      </c>
      <c r="AW19" s="9"/>
      <c r="AX19" s="10">
        <v>43123</v>
      </c>
      <c r="AY19" s="9">
        <v>7460.2900390000004</v>
      </c>
      <c r="AZ19" s="11">
        <f t="shared" si="32"/>
        <v>7.0545415605400017E-3</v>
      </c>
      <c r="BA19" s="9">
        <f t="shared" si="14"/>
        <v>104.53621881303641</v>
      </c>
      <c r="BB19" s="9">
        <f t="shared" si="15"/>
        <v>0.68032691454682115</v>
      </c>
      <c r="BC19" s="9">
        <f t="shared" si="33"/>
        <v>-62.746480638927494</v>
      </c>
      <c r="BD19" s="9"/>
      <c r="BE19" s="10">
        <v>43311</v>
      </c>
      <c r="BF19" s="9">
        <v>7630</v>
      </c>
      <c r="BG19" s="11">
        <f t="shared" si="34"/>
        <v>-1.3883170757550625E-2</v>
      </c>
      <c r="BH19" s="9">
        <f t="shared" si="16"/>
        <v>97.495777135887835</v>
      </c>
      <c r="BI19" s="9">
        <f t="shared" si="17"/>
        <v>0.4880663441304714</v>
      </c>
      <c r="BJ19" s="9">
        <f t="shared" si="35"/>
        <v>-41.791694758272222</v>
      </c>
    </row>
    <row r="20" spans="1:62" x14ac:dyDescent="0.3">
      <c r="A20" s="10">
        <v>41803</v>
      </c>
      <c r="B20" s="9">
        <v>4310.6499020000001</v>
      </c>
      <c r="C20" s="11">
        <f t="shared" si="18"/>
        <v>3.0295812702493029E-3</v>
      </c>
      <c r="D20" s="9">
        <f t="shared" si="0"/>
        <v>102.02528289216485</v>
      </c>
      <c r="E20" s="9">
        <f t="shared" si="1"/>
        <v>0.64086924178284455</v>
      </c>
      <c r="F20" s="9">
        <f t="shared" si="19"/>
        <v>-60.369660160759807</v>
      </c>
      <c r="G20" s="9"/>
      <c r="H20" s="10">
        <v>41990</v>
      </c>
      <c r="I20" s="9">
        <v>4644.3100590000004</v>
      </c>
      <c r="J20" s="11">
        <f t="shared" si="20"/>
        <v>2.1214508753684445E-2</v>
      </c>
      <c r="K20" s="9">
        <f t="shared" si="2"/>
        <v>98.243412540248897</v>
      </c>
      <c r="L20" s="9">
        <f t="shared" si="3"/>
        <v>0.47401853566421481</v>
      </c>
      <c r="M20" s="9">
        <f t="shared" si="21"/>
        <v>-43.453678318390722</v>
      </c>
      <c r="N20" s="9"/>
      <c r="O20" s="10">
        <v>42180</v>
      </c>
      <c r="P20" s="9">
        <v>5112.1899409999996</v>
      </c>
      <c r="Q20" s="11">
        <f t="shared" si="22"/>
        <v>-1.9951965361518545E-3</v>
      </c>
      <c r="R20" s="9">
        <f t="shared" si="4"/>
        <v>101.96095674011652</v>
      </c>
      <c r="S20" s="9">
        <f t="shared" si="5"/>
        <v>0.60491086555312124</v>
      </c>
      <c r="T20" s="9">
        <f t="shared" si="23"/>
        <v>-54.816004878672395</v>
      </c>
      <c r="U20" s="9"/>
      <c r="V20" s="10">
        <v>42368</v>
      </c>
      <c r="W20" s="9">
        <v>5065.8500979999999</v>
      </c>
      <c r="X20" s="11">
        <f t="shared" si="24"/>
        <v>-8.2400818110949965E-3</v>
      </c>
      <c r="Y20" s="9">
        <f t="shared" si="6"/>
        <v>102.68330155511032</v>
      </c>
      <c r="Z20" s="9">
        <f t="shared" si="7"/>
        <v>0.62979202075999474</v>
      </c>
      <c r="AA20" s="9">
        <f t="shared" si="25"/>
        <v>-57.711659528163359</v>
      </c>
      <c r="AB20" s="9"/>
      <c r="AC20" s="10">
        <v>42558</v>
      </c>
      <c r="AD20" s="9">
        <v>4876.8100590000004</v>
      </c>
      <c r="AE20" s="11">
        <f t="shared" si="26"/>
        <v>3.6322949714276613E-3</v>
      </c>
      <c r="AF20" s="9">
        <f t="shared" si="8"/>
        <v>100.81865576064047</v>
      </c>
      <c r="AG20" s="9">
        <f t="shared" si="9"/>
        <v>0.58280723938724821</v>
      </c>
      <c r="AH20" s="9">
        <f t="shared" si="27"/>
        <v>-54.855330270504609</v>
      </c>
      <c r="AI20" s="9"/>
      <c r="AJ20" s="10">
        <v>42746</v>
      </c>
      <c r="AK20" s="9">
        <v>5563.6499020000001</v>
      </c>
      <c r="AL20" s="11">
        <f t="shared" si="28"/>
        <v>2.1308468889533541E-3</v>
      </c>
      <c r="AM20" s="9">
        <f t="shared" si="10"/>
        <v>102.13367028178959</v>
      </c>
      <c r="AN20" s="9">
        <f t="shared" si="11"/>
        <v>0.67525106867973206</v>
      </c>
      <c r="AO20" s="9">
        <f t="shared" si="29"/>
        <v>-64.607510960907987</v>
      </c>
      <c r="AP20" s="9"/>
      <c r="AQ20" s="10">
        <v>42935</v>
      </c>
      <c r="AR20" s="9">
        <v>6385.0400390000004</v>
      </c>
      <c r="AS20" s="11">
        <f t="shared" si="30"/>
        <v>6.4199226742111641E-3</v>
      </c>
      <c r="AT20" s="9">
        <f t="shared" si="12"/>
        <v>103.98376853875371</v>
      </c>
      <c r="AU20" s="9">
        <f t="shared" si="13"/>
        <v>0.76763566141628947</v>
      </c>
      <c r="AV20" s="9">
        <f t="shared" si="31"/>
        <v>-74.197441122836636</v>
      </c>
      <c r="AW20" s="9"/>
      <c r="AX20" s="10">
        <v>43124</v>
      </c>
      <c r="AY20" s="9">
        <v>7415.0600590000004</v>
      </c>
      <c r="AZ20" s="11">
        <f t="shared" si="32"/>
        <v>-6.0627642844383071E-3</v>
      </c>
      <c r="BA20" s="9">
        <f t="shared" si="14"/>
        <v>103.9024403591865</v>
      </c>
      <c r="BB20" s="9">
        <f t="shared" si="15"/>
        <v>0.66318193270404846</v>
      </c>
      <c r="BC20" s="9">
        <f t="shared" si="33"/>
        <v>-60.967653861027593</v>
      </c>
      <c r="BD20" s="9"/>
      <c r="BE20" s="10">
        <v>43312</v>
      </c>
      <c r="BF20" s="9">
        <v>7671.7900390000004</v>
      </c>
      <c r="BG20" s="11">
        <f t="shared" si="34"/>
        <v>5.4770693315859022E-3</v>
      </c>
      <c r="BH20" s="9">
        <f t="shared" si="16"/>
        <v>98.029768266797944</v>
      </c>
      <c r="BI20" s="9">
        <f t="shared" si="17"/>
        <v>0.50107220477851766</v>
      </c>
      <c r="BJ20" s="9">
        <f t="shared" si="35"/>
        <v>-43.068373765909236</v>
      </c>
    </row>
    <row r="21" spans="1:62" x14ac:dyDescent="0.3">
      <c r="A21" s="10">
        <v>41806</v>
      </c>
      <c r="B21" s="9">
        <v>4321.1000979999999</v>
      </c>
      <c r="C21" s="11">
        <f t="shared" si="18"/>
        <v>2.4242738885269319E-3</v>
      </c>
      <c r="D21" s="9">
        <f t="shared" si="0"/>
        <v>102.2726201214499</v>
      </c>
      <c r="E21" s="9">
        <f t="shared" si="1"/>
        <v>0.65198404082674744</v>
      </c>
      <c r="F21" s="9">
        <f t="shared" si="19"/>
        <v>-61.513843074741231</v>
      </c>
      <c r="G21" s="9"/>
      <c r="H21" s="10">
        <v>41991</v>
      </c>
      <c r="I21" s="9">
        <v>4748.3999020000001</v>
      </c>
      <c r="J21" s="11">
        <f t="shared" si="20"/>
        <v>2.2412337177680181E-2</v>
      </c>
      <c r="K21" s="9">
        <f t="shared" si="2"/>
        <v>100.44527702758688</v>
      </c>
      <c r="L21" s="9">
        <f t="shared" si="3"/>
        <v>0.56723443409837371</v>
      </c>
      <c r="M21" s="9">
        <f t="shared" si="21"/>
        <v>-52.818560864281693</v>
      </c>
      <c r="N21" s="9"/>
      <c r="O21" s="10">
        <v>42181</v>
      </c>
      <c r="P21" s="9">
        <v>5080.5097660000001</v>
      </c>
      <c r="Q21" s="11">
        <f t="shared" si="22"/>
        <v>-6.1969870770886351E-3</v>
      </c>
      <c r="R21" s="9">
        <f t="shared" si="4"/>
        <v>101.32910600883042</v>
      </c>
      <c r="S21" s="9">
        <f t="shared" si="5"/>
        <v>0.58655943798429155</v>
      </c>
      <c r="T21" s="9">
        <f t="shared" si="23"/>
        <v>-52.958723887955578</v>
      </c>
      <c r="U21" s="9"/>
      <c r="V21" s="10">
        <v>42369</v>
      </c>
      <c r="W21" s="9">
        <v>5007.4101559999999</v>
      </c>
      <c r="X21" s="11">
        <f t="shared" si="24"/>
        <v>-1.1536058286263166E-2</v>
      </c>
      <c r="Y21" s="9">
        <f t="shared" si="6"/>
        <v>101.49874100334463</v>
      </c>
      <c r="Z21" s="9">
        <f t="shared" si="7"/>
        <v>0.59405783319594485</v>
      </c>
      <c r="AA21" s="9">
        <f t="shared" si="25"/>
        <v>-54.087056240404799</v>
      </c>
      <c r="AB21" s="9"/>
      <c r="AC21" s="10">
        <v>42559</v>
      </c>
      <c r="AD21" s="9">
        <v>4956.7597660000001</v>
      </c>
      <c r="AE21" s="11">
        <f t="shared" si="26"/>
        <v>1.6393852955674391E-2</v>
      </c>
      <c r="AF21" s="9">
        <f t="shared" si="8"/>
        <v>102.47146197836916</v>
      </c>
      <c r="AG21" s="9">
        <f t="shared" si="9"/>
        <v>0.65027182219658886</v>
      </c>
      <c r="AH21" s="9">
        <f t="shared" si="27"/>
        <v>-61.770779077702201</v>
      </c>
      <c r="AI21" s="9"/>
      <c r="AJ21" s="10">
        <v>42747</v>
      </c>
      <c r="AK21" s="9">
        <v>5547.4902339999999</v>
      </c>
      <c r="AL21" s="11">
        <f t="shared" si="28"/>
        <v>-2.9045084224640413E-3</v>
      </c>
      <c r="AM21" s="9">
        <f t="shared" si="10"/>
        <v>101.83702217623897</v>
      </c>
      <c r="AN21" s="9">
        <f t="shared" si="11"/>
        <v>0.65953833822294561</v>
      </c>
      <c r="AO21" s="9">
        <f t="shared" si="29"/>
        <v>-63.010028438678788</v>
      </c>
      <c r="AP21" s="9"/>
      <c r="AQ21" s="10">
        <v>42936</v>
      </c>
      <c r="AR21" s="9">
        <v>6390</v>
      </c>
      <c r="AS21" s="11">
        <f t="shared" si="30"/>
        <v>7.7680969417638548E-4</v>
      </c>
      <c r="AT21" s="9">
        <f t="shared" si="12"/>
        <v>104.06454413819159</v>
      </c>
      <c r="AU21" s="9">
        <f t="shared" si="13"/>
        <v>0.77163787188909172</v>
      </c>
      <c r="AV21" s="9">
        <f t="shared" si="31"/>
        <v>-74.616978603798913</v>
      </c>
      <c r="AW21" s="9"/>
      <c r="AX21" s="10">
        <v>43125</v>
      </c>
      <c r="AY21" s="9">
        <v>7411.1601559999999</v>
      </c>
      <c r="AZ21" s="11">
        <f t="shared" si="32"/>
        <v>-5.2594354853093299E-4</v>
      </c>
      <c r="BA21" s="9">
        <f t="shared" si="14"/>
        <v>103.84779354100297</v>
      </c>
      <c r="BB21" s="9">
        <f t="shared" si="15"/>
        <v>0.66185709583652297</v>
      </c>
      <c r="BC21" s="9">
        <f t="shared" si="33"/>
        <v>-60.832578047038972</v>
      </c>
      <c r="BD21" s="9"/>
      <c r="BE21" s="10">
        <v>43313</v>
      </c>
      <c r="BF21" s="9">
        <v>7707.2900390000004</v>
      </c>
      <c r="BG21" s="11">
        <f t="shared" si="34"/>
        <v>4.6273424871553625E-3</v>
      </c>
      <c r="BH21" s="9">
        <f t="shared" si="16"/>
        <v>98.483385578504894</v>
      </c>
      <c r="BI21" s="9">
        <f t="shared" si="17"/>
        <v>0.51208463038165153</v>
      </c>
      <c r="BJ21" s="9">
        <f t="shared" si="35"/>
        <v>-44.154684692274714</v>
      </c>
    </row>
    <row r="22" spans="1:62" x14ac:dyDescent="0.3">
      <c r="A22" s="10">
        <v>41807</v>
      </c>
      <c r="B22" s="9">
        <v>4337.2299800000001</v>
      </c>
      <c r="C22" s="11">
        <f t="shared" si="18"/>
        <v>3.7328184106324722E-3</v>
      </c>
      <c r="D22" s="9">
        <f t="shared" si="0"/>
        <v>102.65438524074288</v>
      </c>
      <c r="E22" s="9">
        <f t="shared" si="1"/>
        <v>0.66846536094330533</v>
      </c>
      <c r="F22" s="9">
        <f t="shared" si="19"/>
        <v>-63.208250877361344</v>
      </c>
      <c r="G22" s="9"/>
      <c r="H22" s="10">
        <v>41992</v>
      </c>
      <c r="I22" s="9">
        <v>4765.3798829999996</v>
      </c>
      <c r="J22" s="11">
        <f t="shared" si="20"/>
        <v>3.5759374421787059E-3</v>
      </c>
      <c r="K22" s="9">
        <f t="shared" si="2"/>
        <v>100.80446305459985</v>
      </c>
      <c r="L22" s="9">
        <f t="shared" si="3"/>
        <v>0.58205053044130994</v>
      </c>
      <c r="M22" s="9">
        <f t="shared" si="21"/>
        <v>-54.314260171088051</v>
      </c>
      <c r="N22" s="9"/>
      <c r="O22" s="10">
        <v>42184</v>
      </c>
      <c r="P22" s="9">
        <v>4958.4702150000003</v>
      </c>
      <c r="Q22" s="11">
        <f t="shared" si="22"/>
        <v>-2.4021123198447139E-2</v>
      </c>
      <c r="R22" s="9">
        <f t="shared" si="4"/>
        <v>98.895067069803787</v>
      </c>
      <c r="S22" s="9">
        <f t="shared" si="5"/>
        <v>0.512449473386414</v>
      </c>
      <c r="T22" s="9">
        <f t="shared" si="23"/>
        <v>-45.636143528746175</v>
      </c>
      <c r="U22" s="9"/>
      <c r="V22" s="10">
        <v>42373</v>
      </c>
      <c r="W22" s="9">
        <v>4903.0898440000001</v>
      </c>
      <c r="X22" s="11">
        <f t="shared" si="24"/>
        <v>-2.0833186966919558E-2</v>
      </c>
      <c r="Y22" s="9">
        <f t="shared" si="6"/>
        <v>99.384198755115008</v>
      </c>
      <c r="Z22" s="9">
        <f t="shared" si="7"/>
        <v>0.52638330627992169</v>
      </c>
      <c r="AA22" s="9">
        <f t="shared" si="25"/>
        <v>-47.37016936047705</v>
      </c>
      <c r="AB22" s="9"/>
      <c r="AC22" s="10">
        <v>42562</v>
      </c>
      <c r="AD22" s="9">
        <v>4988.6401370000003</v>
      </c>
      <c r="AE22" s="11">
        <f t="shared" si="26"/>
        <v>6.4316958063366019E-3</v>
      </c>
      <c r="AF22" s="9">
        <f t="shared" si="8"/>
        <v>103.13052725064462</v>
      </c>
      <c r="AG22" s="9">
        <f t="shared" si="9"/>
        <v>0.67646999832705068</v>
      </c>
      <c r="AH22" s="9">
        <f t="shared" si="27"/>
        <v>-64.480226840017295</v>
      </c>
      <c r="AI22" s="9"/>
      <c r="AJ22" s="10">
        <v>42748</v>
      </c>
      <c r="AK22" s="9">
        <v>5574.1201170000004</v>
      </c>
      <c r="AL22" s="11">
        <f t="shared" si="28"/>
        <v>4.8003478828657848E-3</v>
      </c>
      <c r="AM22" s="9">
        <f t="shared" si="10"/>
        <v>102.32587531004005</v>
      </c>
      <c r="AN22" s="9">
        <f t="shared" si="11"/>
        <v>0.68578049067992264</v>
      </c>
      <c r="AO22" s="9">
        <f t="shared" si="29"/>
        <v>-65.697869165290655</v>
      </c>
      <c r="AP22" s="9"/>
      <c r="AQ22" s="10">
        <v>42937</v>
      </c>
      <c r="AR22" s="9">
        <v>6387.75</v>
      </c>
      <c r="AS22" s="11">
        <f t="shared" si="30"/>
        <v>-3.5211267605633805E-4</v>
      </c>
      <c r="AT22" s="9">
        <f t="shared" si="12"/>
        <v>104.02790169307252</v>
      </c>
      <c r="AU22" s="9">
        <f t="shared" si="13"/>
        <v>0.7704341966336623</v>
      </c>
      <c r="AV22" s="9">
        <f t="shared" si="31"/>
        <v>-74.494829306842334</v>
      </c>
      <c r="AW22" s="9"/>
      <c r="AX22" s="10">
        <v>43126</v>
      </c>
      <c r="AY22" s="9">
        <v>7505.7700199999999</v>
      </c>
      <c r="AZ22" s="11">
        <f t="shared" si="32"/>
        <v>1.2765864184355108E-2</v>
      </c>
      <c r="BA22" s="9">
        <f t="shared" si="14"/>
        <v>105.17350036919235</v>
      </c>
      <c r="BB22" s="9">
        <f t="shared" si="15"/>
        <v>0.69815076406890475</v>
      </c>
      <c r="BC22" s="9">
        <f t="shared" si="33"/>
        <v>-64.652210196607484</v>
      </c>
      <c r="BD22" s="9"/>
      <c r="BE22" s="10">
        <v>43314</v>
      </c>
      <c r="BF22" s="9">
        <v>7802.6899409999996</v>
      </c>
      <c r="BG22" s="11">
        <f t="shared" si="34"/>
        <v>1.2377878802700032E-2</v>
      </c>
      <c r="BH22" s="9">
        <f t="shared" si="16"/>
        <v>99.702400989275205</v>
      </c>
      <c r="BI22" s="9">
        <f t="shared" si="17"/>
        <v>0.54196196306287514</v>
      </c>
      <c r="BJ22" s="9">
        <f t="shared" si="35"/>
        <v>-47.135341109117604</v>
      </c>
    </row>
    <row r="23" spans="1:62" x14ac:dyDescent="0.3">
      <c r="A23" s="10">
        <v>41808</v>
      </c>
      <c r="B23" s="9">
        <v>4362.8398440000001</v>
      </c>
      <c r="C23" s="11">
        <f t="shared" si="18"/>
        <v>5.9046589915898381E-3</v>
      </c>
      <c r="D23" s="9">
        <f t="shared" si="0"/>
        <v>103.26052437958077</v>
      </c>
      <c r="E23" s="9">
        <f t="shared" si="1"/>
        <v>0.69388095739754874</v>
      </c>
      <c r="F23" s="9">
        <f t="shared" si="19"/>
        <v>-65.835276347373508</v>
      </c>
      <c r="G23" s="9"/>
      <c r="H23" s="10">
        <v>41995</v>
      </c>
      <c r="I23" s="9">
        <v>4781.419922</v>
      </c>
      <c r="J23" s="11">
        <f t="shared" si="20"/>
        <v>3.3659518010771012E-3</v>
      </c>
      <c r="K23" s="9">
        <f t="shared" si="2"/>
        <v>101.14376601857509</v>
      </c>
      <c r="L23" s="9">
        <f t="shared" si="3"/>
        <v>0.59597369621145335</v>
      </c>
      <c r="M23" s="9">
        <f t="shared" si="21"/>
        <v>-55.729198283433774</v>
      </c>
      <c r="N23" s="9"/>
      <c r="O23" s="10">
        <v>42185</v>
      </c>
      <c r="P23" s="9">
        <v>4986.8701170000004</v>
      </c>
      <c r="Q23" s="11">
        <f t="shared" si="22"/>
        <v>5.7275532106831686E-3</v>
      </c>
      <c r="R23" s="9">
        <f t="shared" si="4"/>
        <v>99.461493828720165</v>
      </c>
      <c r="S23" s="9">
        <f t="shared" si="5"/>
        <v>0.52978645157871562</v>
      </c>
      <c r="T23" s="9">
        <f t="shared" si="23"/>
        <v>-47.362380774719007</v>
      </c>
      <c r="U23" s="9"/>
      <c r="V23" s="10">
        <v>42374</v>
      </c>
      <c r="W23" s="9">
        <v>4891.4301759999998</v>
      </c>
      <c r="X23" s="11">
        <f t="shared" si="24"/>
        <v>-2.378024545943898E-3</v>
      </c>
      <c r="Y23" s="9">
        <f t="shared" si="6"/>
        <v>99.147860690996382</v>
      </c>
      <c r="Z23" s="9">
        <f t="shared" si="7"/>
        <v>0.51841670648539218</v>
      </c>
      <c r="AA23" s="9">
        <f t="shared" si="25"/>
        <v>-46.58224479315853</v>
      </c>
      <c r="AB23" s="9"/>
      <c r="AC23" s="10">
        <v>42563</v>
      </c>
      <c r="AD23" s="9">
        <v>5022.8198240000002</v>
      </c>
      <c r="AE23" s="11">
        <f t="shared" si="26"/>
        <v>6.8515038289681763E-3</v>
      </c>
      <c r="AF23" s="9">
        <f t="shared" si="8"/>
        <v>103.8371264529859</v>
      </c>
      <c r="AG23" s="9">
        <f t="shared" si="9"/>
        <v>0.70325794754113224</v>
      </c>
      <c r="AH23" s="9">
        <f t="shared" si="27"/>
        <v>-67.264460436762107</v>
      </c>
      <c r="AI23" s="9"/>
      <c r="AJ23" s="10">
        <v>42752</v>
      </c>
      <c r="AK23" s="9">
        <v>5538.7299800000001</v>
      </c>
      <c r="AL23" s="11">
        <f t="shared" si="28"/>
        <v>-6.3490086788885606E-3</v>
      </c>
      <c r="AM23" s="9">
        <f t="shared" si="10"/>
        <v>101.67620743962173</v>
      </c>
      <c r="AN23" s="9">
        <f t="shared" si="11"/>
        <v>0.65142257903280087</v>
      </c>
      <c r="AO23" s="9">
        <f t="shared" si="29"/>
        <v>-62.215287550882593</v>
      </c>
      <c r="AP23" s="9"/>
      <c r="AQ23" s="10">
        <v>42940</v>
      </c>
      <c r="AR23" s="9">
        <v>6410.8100590000004</v>
      </c>
      <c r="AS23" s="11">
        <f t="shared" si="30"/>
        <v>3.6100440687253516E-3</v>
      </c>
      <c r="AT23" s="9">
        <f t="shared" si="12"/>
        <v>104.40344700256155</v>
      </c>
      <c r="AU23" s="9">
        <f t="shared" si="13"/>
        <v>0.78815344198535875</v>
      </c>
      <c r="AV23" s="9">
        <f t="shared" si="31"/>
        <v>-76.353964460046086</v>
      </c>
      <c r="AW23" s="9"/>
      <c r="AX23" s="10">
        <v>43129</v>
      </c>
      <c r="AY23" s="9">
        <v>7466.5097660000001</v>
      </c>
      <c r="AZ23" s="11">
        <f t="shared" si="32"/>
        <v>-5.2306763856854498E-3</v>
      </c>
      <c r="BA23" s="9">
        <f t="shared" si="14"/>
        <v>104.62337182441135</v>
      </c>
      <c r="BB23" s="9">
        <f t="shared" si="15"/>
        <v>0.68422514007567181</v>
      </c>
      <c r="BC23" s="9">
        <f t="shared" si="33"/>
        <v>-63.203235771483868</v>
      </c>
      <c r="BD23" s="9"/>
      <c r="BE23" s="10">
        <v>43315</v>
      </c>
      <c r="BF23" s="9">
        <v>7812.0097660000001</v>
      </c>
      <c r="BG23" s="11">
        <f t="shared" si="34"/>
        <v>1.1944374402253967E-3</v>
      </c>
      <c r="BH23" s="9">
        <f t="shared" si="16"/>
        <v>99.821489269897157</v>
      </c>
      <c r="BI23" s="9">
        <f t="shared" si="17"/>
        <v>0.54471690256408989</v>
      </c>
      <c r="BJ23" s="9">
        <f t="shared" si="35"/>
        <v>-47.412280381593355</v>
      </c>
    </row>
    <row r="24" spans="1:62" x14ac:dyDescent="0.3">
      <c r="A24" s="10">
        <v>41809</v>
      </c>
      <c r="B24" s="9">
        <v>4359.330078</v>
      </c>
      <c r="C24" s="11">
        <f t="shared" si="18"/>
        <v>-8.0446821920977373E-4</v>
      </c>
      <c r="D24" s="9">
        <f t="shared" si="0"/>
        <v>103.17745456941847</v>
      </c>
      <c r="E24" s="9">
        <f t="shared" si="1"/>
        <v>0.69076130685354487</v>
      </c>
      <c r="F24" s="9">
        <f t="shared" si="19"/>
        <v>-65.516104359993477</v>
      </c>
      <c r="G24" s="9"/>
      <c r="H24" s="10">
        <v>41996</v>
      </c>
      <c r="I24" s="9">
        <v>4765.419922</v>
      </c>
      <c r="J24" s="11">
        <f t="shared" si="20"/>
        <v>-3.3462863042799697E-3</v>
      </c>
      <c r="K24" s="9">
        <f t="shared" si="2"/>
        <v>100.80531001958384</v>
      </c>
      <c r="L24" s="9">
        <f t="shared" si="3"/>
        <v>0.58192311591038981</v>
      </c>
      <c r="M24" s="9">
        <f t="shared" si="21"/>
        <v>-54.315115468315739</v>
      </c>
      <c r="N24" s="9"/>
      <c r="O24" s="10">
        <v>42186</v>
      </c>
      <c r="P24" s="9">
        <v>5013.1201170000004</v>
      </c>
      <c r="Q24" s="11">
        <f t="shared" si="22"/>
        <v>5.2638226751715493E-3</v>
      </c>
      <c r="R24" s="9">
        <f t="shared" si="4"/>
        <v>99.985041495242228</v>
      </c>
      <c r="S24" s="9">
        <f t="shared" si="5"/>
        <v>0.5457568045932234</v>
      </c>
      <c r="T24" s="9">
        <f t="shared" si="23"/>
        <v>-48.961123622773201</v>
      </c>
      <c r="U24" s="9"/>
      <c r="V24" s="10">
        <v>42375</v>
      </c>
      <c r="W24" s="9">
        <v>4835.7597660000001</v>
      </c>
      <c r="X24" s="11">
        <f t="shared" si="24"/>
        <v>-1.1381213264200078E-2</v>
      </c>
      <c r="Y24" s="9">
        <f t="shared" si="6"/>
        <v>98.019437743782944</v>
      </c>
      <c r="Z24" s="9">
        <f t="shared" si="7"/>
        <v>0.48069993725836657</v>
      </c>
      <c r="AA24" s="9">
        <f t="shared" si="25"/>
        <v>-42.88718265817684</v>
      </c>
      <c r="AB24" s="9"/>
      <c r="AC24" s="10">
        <v>42564</v>
      </c>
      <c r="AD24" s="9">
        <v>5005.7299800000001</v>
      </c>
      <c r="AE24" s="11">
        <f t="shared" si="26"/>
        <v>-3.4024401827717409E-3</v>
      </c>
      <c r="AF24" s="9">
        <f t="shared" si="8"/>
        <v>103.48382684147872</v>
      </c>
      <c r="AG24" s="9">
        <f t="shared" si="9"/>
        <v>0.69041561027377107</v>
      </c>
      <c r="AH24" s="9">
        <f t="shared" si="27"/>
        <v>-65.938250580442599</v>
      </c>
      <c r="AI24" s="9"/>
      <c r="AJ24" s="10">
        <v>42753</v>
      </c>
      <c r="AK24" s="9">
        <v>5555.6499020000001</v>
      </c>
      <c r="AL24" s="11">
        <f t="shared" si="28"/>
        <v>3.0548378529187737E-3</v>
      </c>
      <c r="AM24" s="9">
        <f t="shared" si="10"/>
        <v>101.9868117668495</v>
      </c>
      <c r="AN24" s="9">
        <f t="shared" si="11"/>
        <v>0.66868848129895997</v>
      </c>
      <c r="AO24" s="9">
        <f t="shared" si="29"/>
        <v>-63.978738720462808</v>
      </c>
      <c r="AP24" s="9"/>
      <c r="AQ24" s="10">
        <v>42941</v>
      </c>
      <c r="AR24" s="9">
        <v>6412.169922</v>
      </c>
      <c r="AS24" s="11">
        <f t="shared" si="30"/>
        <v>2.1212030733785265E-4</v>
      </c>
      <c r="AT24" s="9">
        <f t="shared" si="12"/>
        <v>104.42559309382685</v>
      </c>
      <c r="AU24" s="9">
        <f t="shared" si="13"/>
        <v>0.7895683260178723</v>
      </c>
      <c r="AV24" s="9">
        <f t="shared" si="31"/>
        <v>-76.504852462933115</v>
      </c>
      <c r="AW24" s="9"/>
      <c r="AX24" s="10">
        <v>43130</v>
      </c>
      <c r="AY24" s="9">
        <v>7402.4799800000001</v>
      </c>
      <c r="AZ24" s="11">
        <f t="shared" si="32"/>
        <v>-8.5755979710319796E-3</v>
      </c>
      <c r="BA24" s="9">
        <f t="shared" si="14"/>
        <v>103.7261638492714</v>
      </c>
      <c r="BB24" s="9">
        <f t="shared" si="15"/>
        <v>0.6594226186053459</v>
      </c>
      <c r="BC24" s="9">
        <f t="shared" si="33"/>
        <v>-60.633162812200474</v>
      </c>
      <c r="BD24" s="9"/>
      <c r="BE24" s="10">
        <v>43318</v>
      </c>
      <c r="BF24" s="9">
        <v>7859.6801759999998</v>
      </c>
      <c r="BG24" s="11">
        <f t="shared" si="34"/>
        <v>6.1021953924679361E-3</v>
      </c>
      <c r="BH24" s="9">
        <f t="shared" si="16"/>
        <v>100.43061950178922</v>
      </c>
      <c r="BI24" s="9">
        <f t="shared" si="17"/>
        <v>0.55922893077333868</v>
      </c>
      <c r="BJ24" s="9">
        <f t="shared" si="35"/>
        <v>-48.875578074856328</v>
      </c>
    </row>
    <row r="25" spans="1:62" x14ac:dyDescent="0.3">
      <c r="A25" s="10">
        <v>41810</v>
      </c>
      <c r="B25" s="9">
        <v>4368.0400390000004</v>
      </c>
      <c r="C25" s="11">
        <f t="shared" si="18"/>
        <v>1.9980044741178407E-3</v>
      </c>
      <c r="D25" s="9">
        <f t="shared" si="0"/>
        <v>103.38360358527625</v>
      </c>
      <c r="E25" s="9">
        <f t="shared" si="1"/>
        <v>0.69947462522051795</v>
      </c>
      <c r="F25" s="9">
        <f t="shared" si="19"/>
        <v>-66.419611109926777</v>
      </c>
      <c r="G25" s="9"/>
      <c r="H25" s="10">
        <v>41997</v>
      </c>
      <c r="I25" s="9">
        <v>4773.4702150000003</v>
      </c>
      <c r="J25" s="11">
        <f t="shared" si="20"/>
        <v>1.6893145057029118E-3</v>
      </c>
      <c r="K25" s="9">
        <f t="shared" si="2"/>
        <v>100.9756018920518</v>
      </c>
      <c r="L25" s="9">
        <f t="shared" si="3"/>
        <v>0.58899585119067122</v>
      </c>
      <c r="M25" s="9">
        <f t="shared" si="21"/>
        <v>-55.03152134416451</v>
      </c>
      <c r="N25" s="9"/>
      <c r="O25" s="10">
        <v>42187</v>
      </c>
      <c r="P25" s="9">
        <v>5009.2099609999996</v>
      </c>
      <c r="Q25" s="11">
        <f t="shared" si="22"/>
        <v>-7.7998450241419267E-4</v>
      </c>
      <c r="R25" s="9">
        <f t="shared" si="4"/>
        <v>99.907054712402697</v>
      </c>
      <c r="S25" s="9">
        <f t="shared" si="5"/>
        <v>0.54320736151365445</v>
      </c>
      <c r="T25" s="9">
        <f t="shared" si="23"/>
        <v>-48.708428415852445</v>
      </c>
      <c r="U25" s="9"/>
      <c r="V25" s="10">
        <v>42376</v>
      </c>
      <c r="W25" s="9">
        <v>4689.4301759999998</v>
      </c>
      <c r="X25" s="11">
        <f t="shared" si="24"/>
        <v>-3.0259896496272781E-2</v>
      </c>
      <c r="Y25" s="9">
        <f t="shared" si="6"/>
        <v>95.053379703033229</v>
      </c>
      <c r="Z25" s="9">
        <f t="shared" si="7"/>
        <v>0.38117614822004953</v>
      </c>
      <c r="AA25" s="9">
        <f t="shared" si="25"/>
        <v>-33.42887267240765</v>
      </c>
      <c r="AB25" s="9"/>
      <c r="AC25" s="10">
        <v>42565</v>
      </c>
      <c r="AD25" s="9">
        <v>5034.0600590000004</v>
      </c>
      <c r="AE25" s="11">
        <f t="shared" si="26"/>
        <v>5.6595300012567389E-3</v>
      </c>
      <c r="AF25" s="9">
        <f t="shared" si="8"/>
        <v>104.06949666413293</v>
      </c>
      <c r="AG25" s="9">
        <f t="shared" si="9"/>
        <v>0.71240963522245093</v>
      </c>
      <c r="AH25" s="9">
        <f t="shared" si="27"/>
        <v>-68.229867533271232</v>
      </c>
      <c r="AI25" s="9"/>
      <c r="AJ25" s="10">
        <v>42754</v>
      </c>
      <c r="AK25" s="9">
        <v>5540.080078</v>
      </c>
      <c r="AL25" s="11">
        <f t="shared" si="28"/>
        <v>-2.8025207265841411E-3</v>
      </c>
      <c r="AM25" s="9">
        <f t="shared" si="10"/>
        <v>101.70099161303467</v>
      </c>
      <c r="AN25" s="9">
        <f t="shared" si="11"/>
        <v>0.65308174279246511</v>
      </c>
      <c r="AO25" s="9">
        <f t="shared" si="29"/>
        <v>-62.394147255768729</v>
      </c>
      <c r="AP25" s="9"/>
      <c r="AQ25" s="10">
        <v>42942</v>
      </c>
      <c r="AR25" s="9">
        <v>6422.75</v>
      </c>
      <c r="AS25" s="11">
        <f t="shared" si="30"/>
        <v>1.6499996301875854E-3</v>
      </c>
      <c r="AT25" s="9">
        <f t="shared" si="12"/>
        <v>104.59789528381378</v>
      </c>
      <c r="AU25" s="9">
        <f t="shared" si="13"/>
        <v>0.79732916261367837</v>
      </c>
      <c r="AV25" s="9">
        <f t="shared" si="31"/>
        <v>-77.319763736133083</v>
      </c>
      <c r="AW25" s="9"/>
      <c r="AX25" s="10">
        <v>43131</v>
      </c>
      <c r="AY25" s="9">
        <v>7411.4799800000001</v>
      </c>
      <c r="AZ25" s="11">
        <f t="shared" si="32"/>
        <v>1.2158087592693495E-3</v>
      </c>
      <c r="BA25" s="9">
        <f t="shared" si="14"/>
        <v>103.85227502784475</v>
      </c>
      <c r="BB25" s="9">
        <f t="shared" si="15"/>
        <v>0.66321865970641147</v>
      </c>
      <c r="BC25" s="9">
        <f t="shared" si="33"/>
        <v>-61.029882141661062</v>
      </c>
      <c r="BD25" s="9"/>
      <c r="BE25" s="10">
        <v>43319</v>
      </c>
      <c r="BF25" s="9">
        <v>7883.6601559999999</v>
      </c>
      <c r="BG25" s="11">
        <f t="shared" si="34"/>
        <v>3.0510121866312526E-3</v>
      </c>
      <c r="BH25" s="9">
        <f t="shared" si="16"/>
        <v>100.7370345458001</v>
      </c>
      <c r="BI25" s="9">
        <f t="shared" si="17"/>
        <v>0.56661455743972389</v>
      </c>
      <c r="BJ25" s="9">
        <f t="shared" si="35"/>
        <v>-49.621592830163557</v>
      </c>
    </row>
    <row r="26" spans="1:62" x14ac:dyDescent="0.3">
      <c r="A26" s="10">
        <v>41813</v>
      </c>
      <c r="B26" s="9">
        <v>4368.6801759999998</v>
      </c>
      <c r="C26" s="11">
        <f t="shared" si="18"/>
        <v>1.4655016764589072E-4</v>
      </c>
      <c r="D26" s="9">
        <f t="shared" si="0"/>
        <v>103.39875446971351</v>
      </c>
      <c r="E26" s="9">
        <f t="shared" si="1"/>
        <v>0.70101947859912483</v>
      </c>
      <c r="F26" s="9">
        <f t="shared" si="19"/>
        <v>-66.587536249095805</v>
      </c>
      <c r="G26" s="9"/>
      <c r="H26" s="10">
        <v>41999</v>
      </c>
      <c r="I26" s="9">
        <v>4806.8598629999997</v>
      </c>
      <c r="J26" s="11">
        <f t="shared" si="20"/>
        <v>6.9948374025833098E-3</v>
      </c>
      <c r="K26" s="9">
        <f t="shared" si="2"/>
        <v>101.68190980891467</v>
      </c>
      <c r="L26" s="9">
        <f t="shared" si="3"/>
        <v>0.61817533807845115</v>
      </c>
      <c r="M26" s="9">
        <f t="shared" si="21"/>
        <v>-58.003070622786282</v>
      </c>
      <c r="N26" s="9"/>
      <c r="O26" s="10">
        <v>42191</v>
      </c>
      <c r="P26" s="9">
        <v>4991.9399409999996</v>
      </c>
      <c r="Q26" s="11">
        <f t="shared" si="22"/>
        <v>-3.4476534492381868E-3</v>
      </c>
      <c r="R26" s="9">
        <f t="shared" si="4"/>
        <v>99.562609810620245</v>
      </c>
      <c r="S26" s="9">
        <f t="shared" si="5"/>
        <v>0.53179447552327375</v>
      </c>
      <c r="T26" s="9">
        <f t="shared" si="23"/>
        <v>-47.580139224258694</v>
      </c>
      <c r="U26" s="9"/>
      <c r="V26" s="10">
        <v>42377</v>
      </c>
      <c r="W26" s="9">
        <v>4643.6298829999996</v>
      </c>
      <c r="X26" s="11">
        <f t="shared" si="24"/>
        <v>-9.7667075275800503E-3</v>
      </c>
      <c r="Y26" s="9">
        <f t="shared" si="6"/>
        <v>94.125021143965682</v>
      </c>
      <c r="Z26" s="9">
        <f t="shared" si="7"/>
        <v>0.35006249132706257</v>
      </c>
      <c r="AA26" s="9">
        <f t="shared" si="25"/>
        <v>-30.501672877005994</v>
      </c>
      <c r="AB26" s="9"/>
      <c r="AC26" s="10">
        <v>42566</v>
      </c>
      <c r="AD26" s="9">
        <v>5029.5898440000001</v>
      </c>
      <c r="AE26" s="11">
        <f t="shared" si="26"/>
        <v>-8.8799397456697682E-4</v>
      </c>
      <c r="AF26" s="9">
        <f t="shared" si="8"/>
        <v>103.97708357815895</v>
      </c>
      <c r="AG26" s="9">
        <f t="shared" si="9"/>
        <v>0.70937959256108729</v>
      </c>
      <c r="AH26" s="9">
        <f t="shared" si="27"/>
        <v>-67.917616559000678</v>
      </c>
      <c r="AI26" s="9"/>
      <c r="AJ26" s="10">
        <v>42755</v>
      </c>
      <c r="AK26" s="9">
        <v>5555.330078</v>
      </c>
      <c r="AL26" s="11">
        <f t="shared" si="28"/>
        <v>2.7526677927560456E-3</v>
      </c>
      <c r="AM26" s="9">
        <f t="shared" si="10"/>
        <v>101.98094065713923</v>
      </c>
      <c r="AN26" s="9">
        <f t="shared" si="11"/>
        <v>0.66874549633220404</v>
      </c>
      <c r="AO26" s="9">
        <f t="shared" si="29"/>
        <v>-63.994115771699391</v>
      </c>
      <c r="AP26" s="9"/>
      <c r="AQ26" s="10">
        <v>42943</v>
      </c>
      <c r="AR26" s="9">
        <v>6382.1899409999996</v>
      </c>
      <c r="AS26" s="11">
        <f t="shared" si="30"/>
        <v>-6.3150611498190594E-3</v>
      </c>
      <c r="AT26" s="9">
        <f t="shared" si="12"/>
        <v>103.93735317895411</v>
      </c>
      <c r="AU26" s="9">
        <f t="shared" si="13"/>
        <v>0.76894474863914608</v>
      </c>
      <c r="AV26" s="9">
        <f t="shared" si="31"/>
        <v>-74.372740465914077</v>
      </c>
      <c r="AW26" s="9"/>
      <c r="AX26" s="10">
        <v>43132</v>
      </c>
      <c r="AY26" s="9">
        <v>7385.8598629999997</v>
      </c>
      <c r="AZ26" s="11">
        <f t="shared" si="32"/>
        <v>-3.4568152473104827E-3</v>
      </c>
      <c r="BA26" s="9">
        <f t="shared" si="14"/>
        <v>103.49327690006062</v>
      </c>
      <c r="BB26" s="9">
        <f t="shared" si="15"/>
        <v>0.65312499313125727</v>
      </c>
      <c r="BC26" s="9">
        <f t="shared" si="33"/>
        <v>-59.987763640746564</v>
      </c>
      <c r="BD26" s="9"/>
      <c r="BE26" s="10">
        <v>43320</v>
      </c>
      <c r="BF26" s="9">
        <v>7888.330078</v>
      </c>
      <c r="BG26" s="11">
        <f t="shared" si="34"/>
        <v>5.9235455455876232E-4</v>
      </c>
      <c r="BH26" s="9">
        <f t="shared" si="16"/>
        <v>100.79670658702604</v>
      </c>
      <c r="BI26" s="9">
        <f t="shared" si="17"/>
        <v>0.56798277453172519</v>
      </c>
      <c r="BJ26" s="9">
        <f t="shared" si="35"/>
        <v>-49.761543892377169</v>
      </c>
    </row>
    <row r="27" spans="1:62" x14ac:dyDescent="0.3">
      <c r="A27" s="10">
        <v>41814</v>
      </c>
      <c r="B27" s="9">
        <v>4350.3500979999999</v>
      </c>
      <c r="C27" s="11">
        <f t="shared" si="18"/>
        <v>-4.1957930682815815E-3</v>
      </c>
      <c r="D27" s="9">
        <f t="shared" si="0"/>
        <v>102.96491469244053</v>
      </c>
      <c r="E27" s="9">
        <f t="shared" si="1"/>
        <v>0.68326950568981493</v>
      </c>
      <c r="F27" s="9">
        <f t="shared" si="19"/>
        <v>-64.762648333017694</v>
      </c>
      <c r="G27" s="9"/>
      <c r="H27" s="10">
        <v>42002</v>
      </c>
      <c r="I27" s="9">
        <v>4806.9101559999999</v>
      </c>
      <c r="J27" s="11">
        <f t="shared" si="20"/>
        <v>1.0462755610447459E-5</v>
      </c>
      <c r="K27" s="9">
        <f t="shared" si="2"/>
        <v>101.68297368188701</v>
      </c>
      <c r="L27" s="9">
        <f t="shared" si="3"/>
        <v>0.6184427186825977</v>
      </c>
      <c r="M27" s="9">
        <f t="shared" si="21"/>
        <v>-58.037410182059304</v>
      </c>
      <c r="N27" s="9"/>
      <c r="O27" s="10">
        <v>42192</v>
      </c>
      <c r="P27" s="9">
        <v>4997.4599609999996</v>
      </c>
      <c r="Q27" s="11">
        <f t="shared" si="22"/>
        <v>1.1057865409522826E-3</v>
      </c>
      <c r="R27" s="9">
        <f t="shared" si="4"/>
        <v>99.672704804530923</v>
      </c>
      <c r="S27" s="9">
        <f t="shared" si="5"/>
        <v>0.53507661152659403</v>
      </c>
      <c r="T27" s="9">
        <f t="shared" si="23"/>
        <v>-47.909233985612197</v>
      </c>
      <c r="U27" s="9"/>
      <c r="V27" s="10">
        <v>42380</v>
      </c>
      <c r="W27" s="9">
        <v>4637.9902339999999</v>
      </c>
      <c r="X27" s="11">
        <f t="shared" si="24"/>
        <v>-1.2144914952516117E-3</v>
      </c>
      <c r="Y27" s="9">
        <f t="shared" si="6"/>
        <v>94.010707106295968</v>
      </c>
      <c r="Z27" s="9">
        <f t="shared" si="7"/>
        <v>0.34417519253067069</v>
      </c>
      <c r="AA27" s="9">
        <f t="shared" si="25"/>
        <v>-29.951964466248818</v>
      </c>
      <c r="AB27" s="9"/>
      <c r="AC27" s="10">
        <v>42569</v>
      </c>
      <c r="AD27" s="9">
        <v>5055.7797849999997</v>
      </c>
      <c r="AE27" s="11">
        <f t="shared" si="26"/>
        <v>5.2071723166935112E-3</v>
      </c>
      <c r="AF27" s="9">
        <f t="shared" si="8"/>
        <v>104.51851016933769</v>
      </c>
      <c r="AG27" s="9">
        <f t="shared" si="9"/>
        <v>0.730045387517818</v>
      </c>
      <c r="AH27" s="9">
        <f t="shared" si="27"/>
        <v>-70.085948580314437</v>
      </c>
      <c r="AI27" s="9"/>
      <c r="AJ27" s="10">
        <v>42758</v>
      </c>
      <c r="AK27" s="9">
        <v>5552.9399409999996</v>
      </c>
      <c r="AL27" s="11">
        <f t="shared" si="28"/>
        <v>-4.3024212178960336E-4</v>
      </c>
      <c r="AM27" s="9">
        <f t="shared" si="10"/>
        <v>101.93706416084881</v>
      </c>
      <c r="AN27" s="9">
        <f t="shared" si="11"/>
        <v>0.66689911955627701</v>
      </c>
      <c r="AO27" s="9">
        <f t="shared" si="29"/>
        <v>-63.813791715703189</v>
      </c>
      <c r="AP27" s="9"/>
      <c r="AQ27" s="10">
        <v>42944</v>
      </c>
      <c r="AR27" s="9">
        <v>6374.6801759999998</v>
      </c>
      <c r="AS27" s="11">
        <f t="shared" si="30"/>
        <v>-1.1766752587158372E-3</v>
      </c>
      <c r="AT27" s="9">
        <f t="shared" si="12"/>
        <v>103.81505266701205</v>
      </c>
      <c r="AU27" s="9">
        <f t="shared" si="13"/>
        <v>0.76376588801657952</v>
      </c>
      <c r="AV27" s="9">
        <f t="shared" si="31"/>
        <v>-73.838153254422849</v>
      </c>
      <c r="AW27" s="9"/>
      <c r="AX27" s="10">
        <v>43133</v>
      </c>
      <c r="AY27" s="9">
        <v>7240.9501950000003</v>
      </c>
      <c r="AZ27" s="11">
        <f t="shared" si="32"/>
        <v>-1.961987780541773E-2</v>
      </c>
      <c r="BA27" s="9">
        <f t="shared" si="14"/>
        <v>101.46275145359918</v>
      </c>
      <c r="BB27" s="9">
        <f t="shared" si="15"/>
        <v>0.59215289025014572</v>
      </c>
      <c r="BC27" s="9">
        <f t="shared" si="33"/>
        <v>-53.803831621734162</v>
      </c>
      <c r="BD27" s="9"/>
      <c r="BE27" s="10">
        <v>43321</v>
      </c>
      <c r="BF27" s="9">
        <v>7891.7797849999997</v>
      </c>
      <c r="BG27" s="11">
        <f t="shared" si="34"/>
        <v>4.3731778030191119E-4</v>
      </c>
      <c r="BH27" s="9">
        <f t="shared" si="16"/>
        <v>100.84078677901243</v>
      </c>
      <c r="BI27" s="9">
        <f t="shared" si="17"/>
        <v>0.56897641276162947</v>
      </c>
      <c r="BJ27" s="9">
        <f t="shared" si="35"/>
        <v>-49.863788190229918</v>
      </c>
    </row>
    <row r="28" spans="1:62" x14ac:dyDescent="0.3">
      <c r="A28" s="10">
        <v>41815</v>
      </c>
      <c r="B28" s="9">
        <v>4379.7597660000001</v>
      </c>
      <c r="C28" s="11">
        <f t="shared" si="18"/>
        <v>6.7602991339756396E-3</v>
      </c>
      <c r="D28" s="9">
        <f t="shared" si="0"/>
        <v>103.66098831606571</v>
      </c>
      <c r="E28" s="9">
        <f t="shared" si="1"/>
        <v>0.7123386227423395</v>
      </c>
      <c r="F28" s="9">
        <f t="shared" si="19"/>
        <v>-67.778643269545071</v>
      </c>
      <c r="G28" s="9"/>
      <c r="H28" s="10">
        <v>42003</v>
      </c>
      <c r="I28" s="9">
        <v>4777.4399409999996</v>
      </c>
      <c r="J28" s="11">
        <f t="shared" si="20"/>
        <v>-6.130802125189602E-3</v>
      </c>
      <c r="K28" s="9">
        <f t="shared" si="2"/>
        <v>101.05957549074252</v>
      </c>
      <c r="L28" s="9">
        <f t="shared" si="3"/>
        <v>0.59246011056181591</v>
      </c>
      <c r="M28" s="9">
        <f t="shared" si="21"/>
        <v>-55.4140039832889</v>
      </c>
      <c r="N28" s="9"/>
      <c r="O28" s="10">
        <v>42193</v>
      </c>
      <c r="P28" s="9">
        <v>4909.7597660000001</v>
      </c>
      <c r="Q28" s="11">
        <f t="shared" si="22"/>
        <v>-1.7548954005516534E-2</v>
      </c>
      <c r="R28" s="9">
        <f t="shared" si="4"/>
        <v>97.923553092310783</v>
      </c>
      <c r="S28" s="9">
        <f t="shared" si="5"/>
        <v>0.47897167094448501</v>
      </c>
      <c r="T28" s="9">
        <f t="shared" si="23"/>
        <v>-42.417207770865481</v>
      </c>
      <c r="U28" s="9"/>
      <c r="V28" s="10">
        <v>42381</v>
      </c>
      <c r="W28" s="9">
        <v>4685.919922</v>
      </c>
      <c r="X28" s="11">
        <f t="shared" si="24"/>
        <v>1.0334150263758441E-2</v>
      </c>
      <c r="Y28" s="9">
        <f t="shared" si="6"/>
        <v>94.982227879934612</v>
      </c>
      <c r="Z28" s="9">
        <f t="shared" si="7"/>
        <v>0.37559925446039732</v>
      </c>
      <c r="AA28" s="9">
        <f t="shared" si="25"/>
        <v>-32.937922805313448</v>
      </c>
      <c r="AB28" s="9"/>
      <c r="AC28" s="10">
        <v>42570</v>
      </c>
      <c r="AD28" s="9">
        <v>5036.3701170000004</v>
      </c>
      <c r="AE28" s="11">
        <f t="shared" si="26"/>
        <v>-3.8391047129042091E-3</v>
      </c>
      <c r="AF28" s="9">
        <f t="shared" si="8"/>
        <v>104.11725266436085</v>
      </c>
      <c r="AG28" s="9">
        <f t="shared" si="9"/>
        <v>0.7159421321592262</v>
      </c>
      <c r="AH28" s="9">
        <f t="shared" si="27"/>
        <v>-68.62043668240004</v>
      </c>
      <c r="AI28" s="9"/>
      <c r="AJ28" s="10">
        <v>42759</v>
      </c>
      <c r="AK28" s="9">
        <v>5600.9599609999996</v>
      </c>
      <c r="AL28" s="11">
        <f t="shared" si="28"/>
        <v>8.6476750172364125E-3</v>
      </c>
      <c r="AM28" s="9">
        <f t="shared" si="10"/>
        <v>102.81858276392299</v>
      </c>
      <c r="AN28" s="9">
        <f t="shared" si="11"/>
        <v>0.71444686506898492</v>
      </c>
      <c r="AO28" s="9">
        <f t="shared" si="29"/>
        <v>-68.705206061417954</v>
      </c>
      <c r="AP28" s="9"/>
      <c r="AQ28" s="10">
        <v>42947</v>
      </c>
      <c r="AR28" s="9">
        <v>6348.1201170000004</v>
      </c>
      <c r="AS28" s="11">
        <f t="shared" si="30"/>
        <v>-4.1664927912768521E-3</v>
      </c>
      <c r="AT28" s="9">
        <f t="shared" si="12"/>
        <v>103.3825079984489</v>
      </c>
      <c r="AU28" s="9">
        <f t="shared" si="13"/>
        <v>0.74441728336370616</v>
      </c>
      <c r="AV28" s="9">
        <f t="shared" si="31"/>
        <v>-71.846949874288697</v>
      </c>
      <c r="AW28" s="9"/>
      <c r="AX28" s="10">
        <v>43136</v>
      </c>
      <c r="AY28" s="9">
        <v>6967.5297849999997</v>
      </c>
      <c r="AZ28" s="11">
        <f t="shared" si="32"/>
        <v>-3.7760294248233066E-2</v>
      </c>
      <c r="BA28" s="9">
        <f t="shared" si="14"/>
        <v>97.631488103475931</v>
      </c>
      <c r="BB28" s="9">
        <f t="shared" si="15"/>
        <v>0.4669331673444212</v>
      </c>
      <c r="BC28" s="9">
        <f t="shared" si="33"/>
        <v>-41.585077492569305</v>
      </c>
      <c r="BD28" s="9"/>
      <c r="BE28" s="10">
        <v>43322</v>
      </c>
      <c r="BF28" s="9">
        <v>7839.1098629999997</v>
      </c>
      <c r="BG28" s="11">
        <f t="shared" si="34"/>
        <v>-6.6740232792747703E-3</v>
      </c>
      <c r="BH28" s="9">
        <f t="shared" si="16"/>
        <v>100.16777302054891</v>
      </c>
      <c r="BI28" s="9">
        <f t="shared" si="17"/>
        <v>0.55223764416350907</v>
      </c>
      <c r="BJ28" s="9">
        <f t="shared" si="35"/>
        <v>-48.189152255532193</v>
      </c>
    </row>
    <row r="29" spans="1:62" x14ac:dyDescent="0.3">
      <c r="A29" s="10">
        <v>41816</v>
      </c>
      <c r="B29" s="9">
        <v>4379.0498049999997</v>
      </c>
      <c r="C29" s="11">
        <f t="shared" si="18"/>
        <v>-1.621004433877609E-4</v>
      </c>
      <c r="D29" s="9">
        <f t="shared" si="0"/>
        <v>103.64418482389766</v>
      </c>
      <c r="E29" s="9">
        <f t="shared" si="1"/>
        <v>0.7120120239825094</v>
      </c>
      <c r="F29" s="9">
        <f t="shared" si="19"/>
        <v>-67.747578688249504</v>
      </c>
      <c r="G29" s="9"/>
      <c r="H29" s="10">
        <v>42004</v>
      </c>
      <c r="I29" s="9">
        <v>4736.0498049999997</v>
      </c>
      <c r="J29" s="11">
        <f t="shared" si="20"/>
        <v>-8.6636643288364023E-3</v>
      </c>
      <c r="K29" s="9">
        <f t="shared" si="2"/>
        <v>100.18402925147601</v>
      </c>
      <c r="L29" s="9">
        <f t="shared" si="3"/>
        <v>0.55478246884737015</v>
      </c>
      <c r="M29" s="9">
        <f t="shared" si="21"/>
        <v>-51.641583358271383</v>
      </c>
      <c r="N29" s="9"/>
      <c r="O29" s="10">
        <v>42194</v>
      </c>
      <c r="P29" s="9">
        <v>4922.3999020000001</v>
      </c>
      <c r="Q29" s="11">
        <f t="shared" si="22"/>
        <v>2.5744917475459192E-3</v>
      </c>
      <c r="R29" s="9">
        <f t="shared" si="4"/>
        <v>98.175656471637311</v>
      </c>
      <c r="S29" s="9">
        <f t="shared" si="5"/>
        <v>0.48675909563059</v>
      </c>
      <c r="T29" s="9">
        <f t="shared" si="23"/>
        <v>-43.18348651038847</v>
      </c>
      <c r="U29" s="9"/>
      <c r="V29" s="10">
        <v>42382</v>
      </c>
      <c r="W29" s="9">
        <v>4526.0600590000004</v>
      </c>
      <c r="X29" s="11">
        <f t="shared" si="24"/>
        <v>-3.4114937015775934E-2</v>
      </c>
      <c r="Y29" s="9">
        <f t="shared" si="6"/>
        <v>91.741915158192555</v>
      </c>
      <c r="Z29" s="9">
        <f t="shared" si="7"/>
        <v>0.27086586105148058</v>
      </c>
      <c r="AA29" s="9">
        <f t="shared" si="25"/>
        <v>-23.330834354043326</v>
      </c>
      <c r="AB29" s="9"/>
      <c r="AC29" s="10">
        <v>42571</v>
      </c>
      <c r="AD29" s="9">
        <v>5089.9301759999998</v>
      </c>
      <c r="AE29" s="11">
        <f t="shared" si="26"/>
        <v>1.0634655070168555E-2</v>
      </c>
      <c r="AF29" s="9">
        <f t="shared" si="8"/>
        <v>105.22450373329993</v>
      </c>
      <c r="AG29" s="9">
        <f t="shared" si="9"/>
        <v>0.75538158884170481</v>
      </c>
      <c r="AH29" s="9">
        <f t="shared" si="27"/>
        <v>-72.773254015217049</v>
      </c>
      <c r="AI29" s="9"/>
      <c r="AJ29" s="10">
        <v>42760</v>
      </c>
      <c r="AK29" s="9">
        <v>5656.3398440000001</v>
      </c>
      <c r="AL29" s="11">
        <f t="shared" si="28"/>
        <v>9.8875698783093876E-3</v>
      </c>
      <c r="AM29" s="9">
        <f t="shared" si="10"/>
        <v>103.83520868579001</v>
      </c>
      <c r="AN29" s="9">
        <f t="shared" si="11"/>
        <v>0.76473244501329618</v>
      </c>
      <c r="AO29" s="9">
        <f t="shared" si="29"/>
        <v>-73.929443308458403</v>
      </c>
      <c r="AP29" s="9"/>
      <c r="AQ29" s="10">
        <v>42948</v>
      </c>
      <c r="AR29" s="9">
        <v>6362.9399409999996</v>
      </c>
      <c r="AS29" s="11">
        <f t="shared" si="30"/>
        <v>2.3345216736388422E-3</v>
      </c>
      <c r="AT29" s="9">
        <f t="shared" si="12"/>
        <v>103.62385670404643</v>
      </c>
      <c r="AU29" s="9">
        <f t="shared" si="13"/>
        <v>0.75650396968459888</v>
      </c>
      <c r="AV29" s="9">
        <f t="shared" si="31"/>
        <v>-73.10237160068101</v>
      </c>
      <c r="AW29" s="9"/>
      <c r="AX29" s="10">
        <v>43137</v>
      </c>
      <c r="AY29" s="9">
        <v>7115.8798829999996</v>
      </c>
      <c r="AZ29" s="11">
        <f t="shared" si="32"/>
        <v>2.1291634564573288E-2</v>
      </c>
      <c r="BA29" s="9">
        <f t="shared" si="14"/>
        <v>99.710222070170616</v>
      </c>
      <c r="BB29" s="9">
        <f t="shared" si="15"/>
        <v>0.53569694370166099</v>
      </c>
      <c r="BC29" s="9">
        <f t="shared" si="33"/>
        <v>-48.443237914437013</v>
      </c>
      <c r="BD29" s="9"/>
      <c r="BE29" s="10">
        <v>43325</v>
      </c>
      <c r="BF29" s="9">
        <v>7819.7099609999996</v>
      </c>
      <c r="BG29" s="11">
        <f t="shared" si="34"/>
        <v>-2.474758274732973E-3</v>
      </c>
      <c r="BH29" s="9">
        <f t="shared" si="16"/>
        <v>99.919881995404737</v>
      </c>
      <c r="BI29" s="9">
        <f t="shared" si="17"/>
        <v>0.54557997289482918</v>
      </c>
      <c r="BJ29" s="9">
        <f t="shared" si="35"/>
        <v>-47.529860022610769</v>
      </c>
    </row>
    <row r="30" spans="1:62" x14ac:dyDescent="0.3">
      <c r="A30" s="10">
        <v>41817</v>
      </c>
      <c r="B30" s="9">
        <v>4397.9301759999998</v>
      </c>
      <c r="C30" s="11">
        <f t="shared" si="18"/>
        <v>4.3115223257891664E-3</v>
      </c>
      <c r="D30" s="9">
        <f t="shared" si="0"/>
        <v>104.09104904070412</v>
      </c>
      <c r="E30" s="9">
        <f t="shared" si="1"/>
        <v>0.73019585638629192</v>
      </c>
      <c r="F30" s="9">
        <f t="shared" si="19"/>
        <v>-69.643137083018232</v>
      </c>
      <c r="G30" s="9"/>
      <c r="H30" s="10">
        <v>42006</v>
      </c>
      <c r="I30" s="9">
        <v>4726.8100590000004</v>
      </c>
      <c r="J30" s="11">
        <f t="shared" si="20"/>
        <v>-1.9509393651740295E-3</v>
      </c>
      <c r="K30" s="9">
        <f t="shared" si="2"/>
        <v>99.988576285047557</v>
      </c>
      <c r="L30" s="9">
        <f t="shared" si="3"/>
        <v>0.54594891793949119</v>
      </c>
      <c r="M30" s="9">
        <f t="shared" si="21"/>
        <v>-50.762573867588607</v>
      </c>
      <c r="N30" s="9"/>
      <c r="O30" s="10">
        <v>42195</v>
      </c>
      <c r="P30" s="9">
        <v>4997.7001950000003</v>
      </c>
      <c r="Q30" s="11">
        <f t="shared" si="22"/>
        <v>1.5297475723052343E-2</v>
      </c>
      <c r="R30" s="9">
        <f t="shared" si="4"/>
        <v>99.677496193106904</v>
      </c>
      <c r="S30" s="9">
        <f t="shared" si="5"/>
        <v>0.53469108515726904</v>
      </c>
      <c r="T30" s="9">
        <f t="shared" si="23"/>
        <v>-47.963001914257447</v>
      </c>
      <c r="U30" s="9"/>
      <c r="V30" s="10">
        <v>42383</v>
      </c>
      <c r="W30" s="9">
        <v>4615</v>
      </c>
      <c r="X30" s="11">
        <f t="shared" si="24"/>
        <v>1.9650632081901771E-2</v>
      </c>
      <c r="Y30" s="9">
        <f t="shared" si="6"/>
        <v>93.544701779455252</v>
      </c>
      <c r="Z30" s="9">
        <f t="shared" si="7"/>
        <v>0.32671704579032645</v>
      </c>
      <c r="AA30" s="9">
        <f t="shared" si="25"/>
        <v>-28.5563755955814</v>
      </c>
      <c r="AB30" s="9"/>
      <c r="AC30" s="10">
        <v>42572</v>
      </c>
      <c r="AD30" s="9">
        <v>5073.8999020000001</v>
      </c>
      <c r="AE30" s="11">
        <f t="shared" si="26"/>
        <v>-3.1494094114661066E-3</v>
      </c>
      <c r="AF30" s="9">
        <f t="shared" si="8"/>
        <v>104.8931086909254</v>
      </c>
      <c r="AG30" s="9">
        <f t="shared" si="9"/>
        <v>0.74448886889511301</v>
      </c>
      <c r="AH30" s="9">
        <f t="shared" si="27"/>
        <v>-71.633673501044441</v>
      </c>
      <c r="AI30" s="9"/>
      <c r="AJ30" s="10">
        <v>42761</v>
      </c>
      <c r="AK30" s="9">
        <v>5655.1801759999998</v>
      </c>
      <c r="AL30" s="11">
        <f t="shared" si="28"/>
        <v>-2.0502092023879425E-4</v>
      </c>
      <c r="AM30" s="9">
        <f t="shared" si="10"/>
        <v>103.81392029575207</v>
      </c>
      <c r="AN30" s="9">
        <f t="shared" si="11"/>
        <v>0.76419776933947836</v>
      </c>
      <c r="AO30" s="9">
        <f t="shared" si="29"/>
        <v>-73.876974789402496</v>
      </c>
      <c r="AP30" s="9"/>
      <c r="AQ30" s="10">
        <v>42949</v>
      </c>
      <c r="AR30" s="9">
        <v>6362.6499020000001</v>
      </c>
      <c r="AS30" s="11">
        <f t="shared" si="30"/>
        <v>-4.5582545598244567E-5</v>
      </c>
      <c r="AT30" s="9">
        <f t="shared" si="12"/>
        <v>103.61913326487316</v>
      </c>
      <c r="AU30" s="9">
        <f t="shared" si="13"/>
        <v>0.75671125157787311</v>
      </c>
      <c r="AV30" s="9">
        <f t="shared" si="31"/>
        <v>-73.126854239586791</v>
      </c>
      <c r="AW30" s="9"/>
      <c r="AX30" s="10">
        <v>43138</v>
      </c>
      <c r="AY30" s="9">
        <v>7051.9799800000001</v>
      </c>
      <c r="AZ30" s="11">
        <f t="shared" si="32"/>
        <v>-8.9799018604372286E-3</v>
      </c>
      <c r="BA30" s="9">
        <f t="shared" si="14"/>
        <v>98.814834061498075</v>
      </c>
      <c r="BB30" s="9">
        <f t="shared" si="15"/>
        <v>0.5058249130090553</v>
      </c>
      <c r="BC30" s="9">
        <f t="shared" si="33"/>
        <v>-45.493429017371461</v>
      </c>
      <c r="BD30" s="9"/>
      <c r="BE30" s="10">
        <v>43326</v>
      </c>
      <c r="BF30" s="9">
        <v>7870.8901370000003</v>
      </c>
      <c r="BG30" s="11">
        <f t="shared" si="34"/>
        <v>6.5450222905013905E-3</v>
      </c>
      <c r="BH30" s="9">
        <f t="shared" si="16"/>
        <v>100.57385985032894</v>
      </c>
      <c r="BI30" s="9">
        <f t="shared" si="17"/>
        <v>0.56189612406614253</v>
      </c>
      <c r="BJ30" s="9">
        <f t="shared" si="35"/>
        <v>-49.172791645866432</v>
      </c>
    </row>
    <row r="31" spans="1:62" x14ac:dyDescent="0.3">
      <c r="A31" s="10">
        <v>41820</v>
      </c>
      <c r="B31" s="9">
        <v>4408.1801759999998</v>
      </c>
      <c r="C31" s="11">
        <f t="shared" si="18"/>
        <v>2.3306418223589371E-3</v>
      </c>
      <c r="D31" s="9">
        <f t="shared" si="0"/>
        <v>104.33364799293162</v>
      </c>
      <c r="E31" s="9">
        <f t="shared" si="1"/>
        <v>0.7409077243680815</v>
      </c>
      <c r="F31" s="9">
        <f t="shared" si="19"/>
        <v>-70.769332015869708</v>
      </c>
      <c r="G31" s="9"/>
      <c r="H31" s="10">
        <v>42009</v>
      </c>
      <c r="I31" s="9">
        <v>4652.5698240000002</v>
      </c>
      <c r="J31" s="11">
        <f t="shared" si="20"/>
        <v>-1.570620229569927E-2</v>
      </c>
      <c r="K31" s="9">
        <f t="shared" si="2"/>
        <v>98.418135478655643</v>
      </c>
      <c r="L31" s="9">
        <f t="shared" si="3"/>
        <v>0.47472752286719766</v>
      </c>
      <c r="M31" s="9">
        <f t="shared" si="21"/>
        <v>-43.759355743710302</v>
      </c>
      <c r="N31" s="9"/>
      <c r="O31" s="10">
        <v>42198</v>
      </c>
      <c r="P31" s="9">
        <v>5071.5097660000001</v>
      </c>
      <c r="Q31" s="11">
        <f t="shared" si="22"/>
        <v>1.4768707229345871E-2</v>
      </c>
      <c r="R31" s="9">
        <f t="shared" si="4"/>
        <v>101.14960395173713</v>
      </c>
      <c r="S31" s="9">
        <f t="shared" si="5"/>
        <v>0.58075171100777356</v>
      </c>
      <c r="T31" s="9">
        <f t="shared" si="23"/>
        <v>-52.627929588146671</v>
      </c>
      <c r="U31" s="9"/>
      <c r="V31" s="10">
        <v>42384</v>
      </c>
      <c r="W31" s="9">
        <v>4488.419922</v>
      </c>
      <c r="X31" s="11">
        <f t="shared" si="24"/>
        <v>-2.7427969230769223E-2</v>
      </c>
      <c r="Y31" s="9">
        <f t="shared" si="6"/>
        <v>90.978960577346868</v>
      </c>
      <c r="Z31" s="9">
        <f t="shared" si="7"/>
        <v>0.24630282373908907</v>
      </c>
      <c r="AA31" s="9">
        <f t="shared" si="25"/>
        <v>-21.241546831520228</v>
      </c>
      <c r="AB31" s="9"/>
      <c r="AC31" s="10">
        <v>42573</v>
      </c>
      <c r="AD31" s="9">
        <v>5100.1601559999999</v>
      </c>
      <c r="AE31" s="11">
        <f t="shared" si="26"/>
        <v>5.1755561810844343E-3</v>
      </c>
      <c r="AF31" s="9">
        <f t="shared" si="8"/>
        <v>105.43598886796389</v>
      </c>
      <c r="AG31" s="9">
        <f t="shared" si="9"/>
        <v>0.76343413121114412</v>
      </c>
      <c r="AH31" s="9">
        <f t="shared" si="27"/>
        <v>-73.634129877784972</v>
      </c>
      <c r="AI31" s="9"/>
      <c r="AJ31" s="10">
        <v>42762</v>
      </c>
      <c r="AK31" s="9">
        <v>5660.7797849999997</v>
      </c>
      <c r="AL31" s="11">
        <f t="shared" si="28"/>
        <v>9.9017340309757681E-4</v>
      </c>
      <c r="AM31" s="9">
        <f t="shared" si="10"/>
        <v>103.91671407850023</v>
      </c>
      <c r="AN31" s="9">
        <f t="shared" si="11"/>
        <v>0.76943182905179697</v>
      </c>
      <c r="AO31" s="9">
        <f t="shared" si="29"/>
        <v>-74.423917178442366</v>
      </c>
      <c r="AP31" s="9"/>
      <c r="AQ31" s="10">
        <v>42950</v>
      </c>
      <c r="AR31" s="9">
        <v>6340.3398440000001</v>
      </c>
      <c r="AS31" s="11">
        <f t="shared" si="30"/>
        <v>-3.5064098046612949E-3</v>
      </c>
      <c r="AT31" s="9">
        <f t="shared" si="12"/>
        <v>103.2558021200427</v>
      </c>
      <c r="AU31" s="9">
        <f t="shared" si="13"/>
        <v>0.73934489054850494</v>
      </c>
      <c r="AV31" s="9">
        <f t="shared" si="31"/>
        <v>-71.336681976532859</v>
      </c>
      <c r="AW31" s="9"/>
      <c r="AX31" s="10">
        <v>43139</v>
      </c>
      <c r="AY31" s="9">
        <v>6777.1601559999999</v>
      </c>
      <c r="AZ31" s="11">
        <f t="shared" si="32"/>
        <v>-3.8970590497904412E-2</v>
      </c>
      <c r="BA31" s="9">
        <f t="shared" si="14"/>
        <v>94.963961628169073</v>
      </c>
      <c r="BB31" s="9">
        <f t="shared" si="15"/>
        <v>0.37611803236593805</v>
      </c>
      <c r="BC31" s="9">
        <f t="shared" si="33"/>
        <v>-33.177819412459101</v>
      </c>
      <c r="BD31" s="9"/>
      <c r="BE31" s="10">
        <v>43327</v>
      </c>
      <c r="BF31" s="9">
        <v>7774.1201170000004</v>
      </c>
      <c r="BG31" s="11">
        <f t="shared" si="34"/>
        <v>-1.2294672942402923E-2</v>
      </c>
      <c r="BH31" s="9">
        <f t="shared" si="16"/>
        <v>99.337337136914073</v>
      </c>
      <c r="BI31" s="9">
        <f t="shared" si="17"/>
        <v>0.53038259498135576</v>
      </c>
      <c r="BJ31" s="9">
        <f t="shared" si="35"/>
        <v>-46.044342423977547</v>
      </c>
    </row>
    <row r="32" spans="1:62" x14ac:dyDescent="0.3">
      <c r="A32" s="10">
        <v>41821</v>
      </c>
      <c r="B32" s="9">
        <v>4458.6499020000001</v>
      </c>
      <c r="C32" s="11">
        <f t="shared" si="18"/>
        <v>1.1449106884237363E-2</v>
      </c>
      <c r="D32" s="9">
        <f t="shared" si="0"/>
        <v>105.52817508042507</v>
      </c>
      <c r="E32" s="9">
        <f t="shared" si="1"/>
        <v>0.78519473613923729</v>
      </c>
      <c r="F32" s="9">
        <f t="shared" si="19"/>
        <v>-75.445767936319058</v>
      </c>
      <c r="G32" s="9"/>
      <c r="H32" s="10">
        <v>42010</v>
      </c>
      <c r="I32" s="9">
        <v>4592.7402339999999</v>
      </c>
      <c r="J32" s="11">
        <f t="shared" si="20"/>
        <v>-1.2859471703438593E-2</v>
      </c>
      <c r="K32" s="9">
        <f t="shared" si="2"/>
        <v>97.152530250362673</v>
      </c>
      <c r="L32" s="9">
        <f t="shared" si="3"/>
        <v>0.41679467997785341</v>
      </c>
      <c r="M32" s="9">
        <f t="shared" si="21"/>
        <v>-38.132831839054354</v>
      </c>
      <c r="N32" s="9"/>
      <c r="O32" s="10">
        <v>42199</v>
      </c>
      <c r="P32" s="9">
        <v>5104.8901370000003</v>
      </c>
      <c r="Q32" s="11">
        <f t="shared" si="22"/>
        <v>6.5819396077645637E-3</v>
      </c>
      <c r="R32" s="9">
        <f t="shared" si="4"/>
        <v>101.81536453629678</v>
      </c>
      <c r="S32" s="9">
        <f t="shared" si="5"/>
        <v>0.60132749436428323</v>
      </c>
      <c r="T32" s="9">
        <f t="shared" si="23"/>
        <v>-54.725023307278008</v>
      </c>
      <c r="U32" s="9"/>
      <c r="V32" s="10">
        <v>42388</v>
      </c>
      <c r="W32" s="9">
        <v>4476.9501950000003</v>
      </c>
      <c r="X32" s="11">
        <f t="shared" si="24"/>
        <v>-2.5554041732550026E-3</v>
      </c>
      <c r="Y32" s="9">
        <f t="shared" si="6"/>
        <v>90.746472561809114</v>
      </c>
      <c r="Z32" s="9">
        <f t="shared" si="7"/>
        <v>0.23572264030459747</v>
      </c>
      <c r="AA32" s="9">
        <f t="shared" si="25"/>
        <v>-20.28492455391601</v>
      </c>
      <c r="AB32" s="9"/>
      <c r="AC32" s="10">
        <v>42576</v>
      </c>
      <c r="AD32" s="9">
        <v>5097.6298829999996</v>
      </c>
      <c r="AE32" s="11">
        <f t="shared" si="26"/>
        <v>-4.9611638117356147E-4</v>
      </c>
      <c r="AF32" s="9">
        <f t="shared" si="8"/>
        <v>105.38368034672125</v>
      </c>
      <c r="AG32" s="9">
        <f t="shared" si="9"/>
        <v>0.76318409376006513</v>
      </c>
      <c r="AH32" s="9">
        <f t="shared" si="27"/>
        <v>-73.616858750998517</v>
      </c>
      <c r="AI32" s="9"/>
      <c r="AJ32" s="10">
        <v>42765</v>
      </c>
      <c r="AK32" s="9">
        <v>5613.7099609999996</v>
      </c>
      <c r="AL32" s="11">
        <f t="shared" si="28"/>
        <v>-8.3150777433042573E-3</v>
      </c>
      <c r="AM32" s="9">
        <f t="shared" si="10"/>
        <v>103.05263852210878</v>
      </c>
      <c r="AN32" s="9">
        <f t="shared" si="11"/>
        <v>0.72863306886960222</v>
      </c>
      <c r="AO32" s="9">
        <f t="shared" si="29"/>
        <v>-70.228673410308843</v>
      </c>
      <c r="AP32" s="9"/>
      <c r="AQ32" s="10">
        <v>42951</v>
      </c>
      <c r="AR32" s="9">
        <v>6351.5600590000004</v>
      </c>
      <c r="AS32" s="11">
        <f t="shared" si="30"/>
        <v>1.7696551409019834E-3</v>
      </c>
      <c r="AT32" s="9">
        <f t="shared" si="12"/>
        <v>103.43852928109239</v>
      </c>
      <c r="AU32" s="9">
        <f t="shared" si="13"/>
        <v>0.7488117647634891</v>
      </c>
      <c r="AV32" s="9">
        <f t="shared" si="31"/>
        <v>-72.318853226924787</v>
      </c>
      <c r="AW32" s="9"/>
      <c r="AX32" s="10">
        <v>43140</v>
      </c>
      <c r="AY32" s="9">
        <v>6874.4902339999999</v>
      </c>
      <c r="AZ32" s="11">
        <f t="shared" si="32"/>
        <v>1.4361484126036338E-2</v>
      </c>
      <c r="BA32" s="9">
        <f t="shared" si="14"/>
        <v>96.327785055637534</v>
      </c>
      <c r="BB32" s="9">
        <f t="shared" si="15"/>
        <v>0.42119668576610086</v>
      </c>
      <c r="BC32" s="9">
        <f t="shared" si="33"/>
        <v>-37.52150974783514</v>
      </c>
      <c r="BD32" s="9"/>
      <c r="BE32" s="10">
        <v>43328</v>
      </c>
      <c r="BF32" s="9">
        <v>7806.5200199999999</v>
      </c>
      <c r="BG32" s="11">
        <f t="shared" si="34"/>
        <v>4.1676617433719972E-3</v>
      </c>
      <c r="BH32" s="9">
        <f t="shared" si="16"/>
        <v>99.751341556588031</v>
      </c>
      <c r="BI32" s="9">
        <f t="shared" si="17"/>
        <v>0.54080020185237498</v>
      </c>
      <c r="BJ32" s="9">
        <f t="shared" si="35"/>
        <v>-47.085404957303176</v>
      </c>
    </row>
    <row r="33" spans="1:62" x14ac:dyDescent="0.3">
      <c r="A33" s="10">
        <v>41822</v>
      </c>
      <c r="B33" s="9">
        <v>4457.7299800000001</v>
      </c>
      <c r="C33" s="11">
        <f t="shared" si="18"/>
        <v>-2.0632299467769296E-4</v>
      </c>
      <c r="D33" s="9">
        <f t="shared" si="0"/>
        <v>105.50640219131961</v>
      </c>
      <c r="E33" s="9">
        <f t="shared" si="1"/>
        <v>0.78498275953556573</v>
      </c>
      <c r="F33" s="9">
        <f t="shared" si="19"/>
        <v>-75.426503622238016</v>
      </c>
      <c r="G33" s="9"/>
      <c r="H33" s="10">
        <v>42011</v>
      </c>
      <c r="I33" s="9">
        <v>4650.4702150000003</v>
      </c>
      <c r="J33" s="11">
        <f t="shared" si="20"/>
        <v>1.2569833706819746E-2</v>
      </c>
      <c r="K33" s="9">
        <f t="shared" si="2"/>
        <v>98.373721399806513</v>
      </c>
      <c r="L33" s="9">
        <f t="shared" si="3"/>
        <v>0.47193071313018625</v>
      </c>
      <c r="M33" s="9">
        <f t="shared" si="21"/>
        <v>-43.558335738351936</v>
      </c>
      <c r="N33" s="9"/>
      <c r="O33" s="10">
        <v>42200</v>
      </c>
      <c r="P33" s="9">
        <v>5098.9399409999996</v>
      </c>
      <c r="Q33" s="11">
        <f t="shared" si="22"/>
        <v>-1.165587474032781E-3</v>
      </c>
      <c r="R33" s="9">
        <f t="shared" si="4"/>
        <v>101.6966898227292</v>
      </c>
      <c r="S33" s="9">
        <f t="shared" si="5"/>
        <v>0.59771663693032884</v>
      </c>
      <c r="T33" s="9">
        <f t="shared" si="23"/>
        <v>-54.360060078596035</v>
      </c>
      <c r="U33" s="9"/>
      <c r="V33" s="10">
        <v>42389</v>
      </c>
      <c r="W33" s="9">
        <v>4471.6899409999996</v>
      </c>
      <c r="X33" s="11">
        <f t="shared" si="24"/>
        <v>-1.1749637076319348E-3</v>
      </c>
      <c r="Y33" s="9">
        <f t="shared" si="6"/>
        <v>90.639848749953373</v>
      </c>
      <c r="Z33" s="9">
        <f t="shared" si="7"/>
        <v>0.23166197814558739</v>
      </c>
      <c r="AA33" s="9">
        <f t="shared" si="25"/>
        <v>-19.917700394164697</v>
      </c>
      <c r="AB33" s="9"/>
      <c r="AC33" s="10">
        <v>42577</v>
      </c>
      <c r="AD33" s="9">
        <v>5110.0498049999997</v>
      </c>
      <c r="AE33" s="11">
        <f t="shared" si="26"/>
        <v>2.4364110939907647E-3</v>
      </c>
      <c r="AF33" s="9">
        <f t="shared" si="8"/>
        <v>105.64043831464357</v>
      </c>
      <c r="AG33" s="9">
        <f t="shared" si="9"/>
        <v>0.772255664540207</v>
      </c>
      <c r="AH33" s="9">
        <f t="shared" si="27"/>
        <v>-74.578208876940224</v>
      </c>
      <c r="AI33" s="9"/>
      <c r="AJ33" s="10">
        <v>42766</v>
      </c>
      <c r="AK33" s="9">
        <v>5614.7900390000004</v>
      </c>
      <c r="AL33" s="11">
        <f t="shared" si="28"/>
        <v>1.9240003625133265E-4</v>
      </c>
      <c r="AM33" s="9">
        <f t="shared" si="10"/>
        <v>103.07246585349621</v>
      </c>
      <c r="AN33" s="9">
        <f t="shared" si="11"/>
        <v>0.73003926630648353</v>
      </c>
      <c r="AO33" s="9">
        <f t="shared" si="29"/>
        <v>-70.376499816775677</v>
      </c>
      <c r="AP33" s="9"/>
      <c r="AQ33" s="10">
        <v>42954</v>
      </c>
      <c r="AR33" s="9">
        <v>6383.7700199999999</v>
      </c>
      <c r="AS33" s="11">
        <f t="shared" si="30"/>
        <v>5.0711889206430261E-3</v>
      </c>
      <c r="AT33" s="9">
        <f t="shared" si="12"/>
        <v>103.96308560475028</v>
      </c>
      <c r="AU33" s="9">
        <f t="shared" si="13"/>
        <v>0.77526306027045455</v>
      </c>
      <c r="AV33" s="9">
        <f t="shared" si="31"/>
        <v>-75.07772809871301</v>
      </c>
      <c r="AW33" s="9"/>
      <c r="AX33" s="10">
        <v>43143</v>
      </c>
      <c r="AY33" s="9">
        <v>6981.9599609999996</v>
      </c>
      <c r="AZ33" s="11">
        <f t="shared" si="32"/>
        <v>1.5633119452039313E-2</v>
      </c>
      <c r="BA33" s="9">
        <f t="shared" si="14"/>
        <v>97.833688825962682</v>
      </c>
      <c r="BB33" s="9">
        <f t="shared" si="15"/>
        <v>0.47101963813515924</v>
      </c>
      <c r="BC33" s="9">
        <f t="shared" si="33"/>
        <v>-42.40049919103069</v>
      </c>
      <c r="BD33" s="9"/>
      <c r="BE33" s="10">
        <v>43329</v>
      </c>
      <c r="BF33" s="9">
        <v>7816.330078</v>
      </c>
      <c r="BG33" s="11">
        <f t="shared" si="34"/>
        <v>1.2566493104311576E-3</v>
      </c>
      <c r="BH33" s="9">
        <f t="shared" si="16"/>
        <v>99.876694011169704</v>
      </c>
      <c r="BI33" s="9">
        <f t="shared" si="17"/>
        <v>0.54384025227025867</v>
      </c>
      <c r="BJ33" s="9">
        <f t="shared" si="35"/>
        <v>-47.390970199071909</v>
      </c>
    </row>
    <row r="34" spans="1:62" x14ac:dyDescent="0.3">
      <c r="A34" s="10">
        <v>41823</v>
      </c>
      <c r="B34" s="9">
        <v>4485.9301759999998</v>
      </c>
      <c r="C34" s="11">
        <f t="shared" si="18"/>
        <v>6.3261337332055669E-3</v>
      </c>
      <c r="D34" s="9">
        <f t="shared" si="0"/>
        <v>106.17384980129128</v>
      </c>
      <c r="E34" s="9">
        <f t="shared" si="1"/>
        <v>0.80795632639416681</v>
      </c>
      <c r="F34" s="9">
        <f t="shared" si="19"/>
        <v>-77.868795442303721</v>
      </c>
      <c r="G34" s="9"/>
      <c r="H34" s="10">
        <v>42012</v>
      </c>
      <c r="I34" s="9">
        <v>4736.1899409999996</v>
      </c>
      <c r="J34" s="11">
        <f t="shared" si="20"/>
        <v>1.8432485756711667E-2</v>
      </c>
      <c r="K34" s="9">
        <f t="shared" si="2"/>
        <v>100.18699361834318</v>
      </c>
      <c r="L34" s="9">
        <f t="shared" si="3"/>
        <v>0.55394211805760252</v>
      </c>
      <c r="M34" s="9">
        <f t="shared" si="21"/>
        <v>-51.776601945821064</v>
      </c>
      <c r="N34" s="9"/>
      <c r="O34" s="10">
        <v>42201</v>
      </c>
      <c r="P34" s="9">
        <v>5163.1801759999998</v>
      </c>
      <c r="Q34" s="11">
        <f t="shared" si="22"/>
        <v>1.2598743217870002E-2</v>
      </c>
      <c r="R34" s="9">
        <f t="shared" si="4"/>
        <v>102.97794030391314</v>
      </c>
      <c r="S34" s="9">
        <f t="shared" si="5"/>
        <v>0.63661443980406973</v>
      </c>
      <c r="T34" s="9">
        <f t="shared" si="23"/>
        <v>-58.367909721857444</v>
      </c>
      <c r="U34" s="9"/>
      <c r="V34" s="10">
        <v>42390</v>
      </c>
      <c r="W34" s="9">
        <v>4472.0600590000004</v>
      </c>
      <c r="X34" s="11">
        <f t="shared" si="24"/>
        <v>8.2769155483521898E-5</v>
      </c>
      <c r="Y34" s="9">
        <f t="shared" si="6"/>
        <v>90.647350933687548</v>
      </c>
      <c r="Z34" s="9">
        <f t="shared" si="7"/>
        <v>0.23089858136710156</v>
      </c>
      <c r="AA34" s="9">
        <f t="shared" si="25"/>
        <v>-19.849319050935737</v>
      </c>
      <c r="AB34" s="9"/>
      <c r="AC34" s="10">
        <v>42578</v>
      </c>
      <c r="AD34" s="9">
        <v>5139.8100590000004</v>
      </c>
      <c r="AE34" s="11">
        <f t="shared" si="26"/>
        <v>5.8238676990743565E-3</v>
      </c>
      <c r="AF34" s="9">
        <f t="shared" si="8"/>
        <v>106.2556742510603</v>
      </c>
      <c r="AG34" s="9">
        <f t="shared" si="9"/>
        <v>0.79253727181348677</v>
      </c>
      <c r="AH34" s="9">
        <f t="shared" si="27"/>
        <v>-76.736309653534221</v>
      </c>
      <c r="AI34" s="9"/>
      <c r="AJ34" s="10">
        <v>42767</v>
      </c>
      <c r="AK34" s="9">
        <v>5642.6499020000001</v>
      </c>
      <c r="AL34" s="11">
        <f t="shared" si="28"/>
        <v>4.9618708458351451E-3</v>
      </c>
      <c r="AM34" s="9">
        <f t="shared" si="10"/>
        <v>103.58389811682302</v>
      </c>
      <c r="AN34" s="9">
        <f t="shared" si="11"/>
        <v>0.75600836326400467</v>
      </c>
      <c r="AO34" s="9">
        <f t="shared" si="29"/>
        <v>-73.069372354562688</v>
      </c>
      <c r="AP34" s="9"/>
      <c r="AQ34" s="10">
        <v>42955</v>
      </c>
      <c r="AR34" s="9">
        <v>6370.4599609999996</v>
      </c>
      <c r="AS34" s="11">
        <f t="shared" si="30"/>
        <v>-2.0849841016046446E-3</v>
      </c>
      <c r="AT34" s="9">
        <f t="shared" si="12"/>
        <v>103.74632422411061</v>
      </c>
      <c r="AU34" s="9">
        <f t="shared" si="13"/>
        <v>0.76553656806215575</v>
      </c>
      <c r="AV34" s="9">
        <f t="shared" si="31"/>
        <v>-74.071725733993006</v>
      </c>
      <c r="AW34" s="9"/>
      <c r="AX34" s="10">
        <v>43144</v>
      </c>
      <c r="AY34" s="9">
        <v>7013.5097660000001</v>
      </c>
      <c r="AZ34" s="11">
        <f t="shared" si="32"/>
        <v>4.5187605165644346E-3</v>
      </c>
      <c r="BA34" s="9">
        <f t="shared" si="14"/>
        <v>98.27577583621931</v>
      </c>
      <c r="BB34" s="9">
        <f t="shared" si="15"/>
        <v>0.4857656138110662</v>
      </c>
      <c r="BC34" s="9">
        <f t="shared" si="33"/>
        <v>-43.851413913115586</v>
      </c>
      <c r="BD34" s="9"/>
      <c r="BE34" s="10">
        <v>43332</v>
      </c>
      <c r="BF34" s="9">
        <v>7821.0097660000001</v>
      </c>
      <c r="BG34" s="11">
        <f t="shared" si="34"/>
        <v>5.9870654812438297E-4</v>
      </c>
      <c r="BH34" s="9">
        <f t="shared" si="16"/>
        <v>99.936490841879206</v>
      </c>
      <c r="BI34" s="9">
        <f t="shared" si="17"/>
        <v>0.54489356721340687</v>
      </c>
      <c r="BJ34" s="9">
        <f t="shared" si="35"/>
        <v>-47.502077880777385</v>
      </c>
    </row>
    <row r="35" spans="1:62" x14ac:dyDescent="0.3">
      <c r="A35" s="10">
        <v>41827</v>
      </c>
      <c r="B35" s="9">
        <v>4451.5297849999997</v>
      </c>
      <c r="C35" s="11">
        <f t="shared" si="18"/>
        <v>-7.6685079014480245E-3</v>
      </c>
      <c r="D35" s="9">
        <f t="shared" si="0"/>
        <v>105.35965479516291</v>
      </c>
      <c r="E35" s="9">
        <f t="shared" si="1"/>
        <v>0.78259028746289516</v>
      </c>
      <c r="F35" s="9">
        <f t="shared" si="19"/>
        <v>-75.209039739061197</v>
      </c>
      <c r="G35" s="9"/>
      <c r="H35" s="10">
        <v>42013</v>
      </c>
      <c r="I35" s="9">
        <v>4704.0698240000002</v>
      </c>
      <c r="J35" s="11">
        <f t="shared" si="20"/>
        <v>-6.7818473076731453E-3</v>
      </c>
      <c r="K35" s="9">
        <f t="shared" si="2"/>
        <v>99.507540725408745</v>
      </c>
      <c r="L35" s="9">
        <f t="shared" si="3"/>
        <v>0.52309600240740473</v>
      </c>
      <c r="M35" s="9">
        <f t="shared" si="21"/>
        <v>-48.709308685820382</v>
      </c>
      <c r="N35" s="9"/>
      <c r="O35" s="10">
        <v>42202</v>
      </c>
      <c r="P35" s="9">
        <v>5210.1401370000003</v>
      </c>
      <c r="Q35" s="11">
        <f t="shared" si="22"/>
        <v>9.0951621673565387E-3</v>
      </c>
      <c r="R35" s="9">
        <f t="shared" si="4"/>
        <v>103.91454137063758</v>
      </c>
      <c r="S35" s="9">
        <f t="shared" si="5"/>
        <v>0.66414493633192262</v>
      </c>
      <c r="T35" s="9">
        <f t="shared" si="23"/>
        <v>-61.231127372765293</v>
      </c>
      <c r="U35" s="9"/>
      <c r="V35" s="10">
        <v>42391</v>
      </c>
      <c r="W35" s="9">
        <v>4591.1801759999998</v>
      </c>
      <c r="X35" s="11">
        <f t="shared" si="24"/>
        <v>2.6636519954661788E-2</v>
      </c>
      <c r="Y35" s="9">
        <f t="shared" si="6"/>
        <v>93.061880905669952</v>
      </c>
      <c r="Z35" s="9">
        <f t="shared" si="7"/>
        <v>0.30439743406079378</v>
      </c>
      <c r="AA35" s="9">
        <f t="shared" si="25"/>
        <v>-26.690076269221656</v>
      </c>
      <c r="AB35" s="9"/>
      <c r="AC35" s="10">
        <v>42579</v>
      </c>
      <c r="AD35" s="9">
        <v>5154.9799800000001</v>
      </c>
      <c r="AE35" s="11">
        <f t="shared" si="26"/>
        <v>2.9514555646733684E-3</v>
      </c>
      <c r="AF35" s="9">
        <f t="shared" si="8"/>
        <v>106.56928315210672</v>
      </c>
      <c r="AG35" s="9">
        <f t="shared" si="9"/>
        <v>0.80275168203156322</v>
      </c>
      <c r="AH35" s="9">
        <f t="shared" si="27"/>
        <v>-77.828005640068028</v>
      </c>
      <c r="AI35" s="9"/>
      <c r="AJ35" s="10">
        <v>42768</v>
      </c>
      <c r="AK35" s="9">
        <v>5636.2001950000003</v>
      </c>
      <c r="AL35" s="11">
        <f t="shared" si="28"/>
        <v>-1.1430280297407263E-3</v>
      </c>
      <c r="AM35" s="9">
        <f t="shared" si="10"/>
        <v>103.46549881784568</v>
      </c>
      <c r="AN35" s="9">
        <f t="shared" si="11"/>
        <v>0.75066865314146436</v>
      </c>
      <c r="AO35" s="9">
        <f t="shared" si="29"/>
        <v>-72.519899495813291</v>
      </c>
      <c r="AP35" s="9"/>
      <c r="AQ35" s="10">
        <v>42956</v>
      </c>
      <c r="AR35" s="9">
        <v>6352.330078</v>
      </c>
      <c r="AS35" s="11">
        <f t="shared" si="30"/>
        <v>-2.8459299816639425E-3</v>
      </c>
      <c r="AT35" s="9">
        <f t="shared" si="12"/>
        <v>103.4510694495138</v>
      </c>
      <c r="AU35" s="9">
        <f t="shared" si="13"/>
        <v>0.75161590262819122</v>
      </c>
      <c r="AV35" s="9">
        <f t="shared" si="31"/>
        <v>-72.634662113473496</v>
      </c>
      <c r="AW35" s="9"/>
      <c r="AX35" s="10">
        <v>43145</v>
      </c>
      <c r="AY35" s="9">
        <v>7143.6201170000004</v>
      </c>
      <c r="AZ35" s="11">
        <f t="shared" si="32"/>
        <v>1.855138943853012E-2</v>
      </c>
      <c r="BA35" s="9">
        <f t="shared" si="14"/>
        <v>100.09892802613069</v>
      </c>
      <c r="BB35" s="9">
        <f t="shared" si="15"/>
        <v>0.54733143879633661</v>
      </c>
      <c r="BC35" s="9">
        <f t="shared" si="33"/>
        <v>-50.01588914711629</v>
      </c>
      <c r="BD35" s="9"/>
      <c r="BE35" s="10">
        <v>43333</v>
      </c>
      <c r="BF35" s="9">
        <v>7859.169922</v>
      </c>
      <c r="BG35" s="11">
        <f t="shared" si="34"/>
        <v>4.879185315161249E-3</v>
      </c>
      <c r="BH35" s="9">
        <f t="shared" si="16"/>
        <v>100.42409950044365</v>
      </c>
      <c r="BI35" s="9">
        <f t="shared" si="17"/>
        <v>0.55732125086361783</v>
      </c>
      <c r="BJ35" s="9">
        <f t="shared" si="35"/>
        <v>-48.752069000526106</v>
      </c>
    </row>
    <row r="36" spans="1:62" x14ac:dyDescent="0.3">
      <c r="A36" s="10">
        <v>41828</v>
      </c>
      <c r="B36" s="9">
        <v>4391.4599609999996</v>
      </c>
      <c r="C36" s="11">
        <f t="shared" si="18"/>
        <v>-1.3494197927735568E-2</v>
      </c>
      <c r="D36" s="9">
        <f t="shared" si="0"/>
        <v>103.93791075975909</v>
      </c>
      <c r="E36" s="9">
        <f t="shared" si="1"/>
        <v>0.72870943915494779</v>
      </c>
      <c r="F36" s="9">
        <f t="shared" si="19"/>
        <v>-69.611867781934762</v>
      </c>
      <c r="G36" s="9"/>
      <c r="H36" s="10">
        <v>42016</v>
      </c>
      <c r="I36" s="9">
        <v>4664.7099609999996</v>
      </c>
      <c r="J36" s="11">
        <f t="shared" si="20"/>
        <v>-8.3671936158744801E-3</v>
      </c>
      <c r="K36" s="9">
        <f t="shared" si="2"/>
        <v>98.674941865919735</v>
      </c>
      <c r="L36" s="9">
        <f t="shared" si="3"/>
        <v>0.48391823942914836</v>
      </c>
      <c r="M36" s="9">
        <f t="shared" si="21"/>
        <v>-44.849450828941698</v>
      </c>
      <c r="N36" s="9"/>
      <c r="O36" s="10">
        <v>42205</v>
      </c>
      <c r="P36" s="9">
        <v>5218.8598629999997</v>
      </c>
      <c r="Q36" s="11">
        <f t="shared" si="22"/>
        <v>1.6736068072480243E-3</v>
      </c>
      <c r="R36" s="9">
        <f t="shared" si="4"/>
        <v>104.08845345444753</v>
      </c>
      <c r="S36" s="9">
        <f t="shared" si="5"/>
        <v>0.66993523807842192</v>
      </c>
      <c r="T36" s="9">
        <f t="shared" si="23"/>
        <v>-61.841380435064849</v>
      </c>
      <c r="U36" s="9"/>
      <c r="V36" s="10">
        <v>42394</v>
      </c>
      <c r="W36" s="9">
        <v>4518.4902339999999</v>
      </c>
      <c r="X36" s="11">
        <f t="shared" si="24"/>
        <v>-1.5832517830596238E-2</v>
      </c>
      <c r="Y36" s="9">
        <f t="shared" si="6"/>
        <v>91.588477016882123</v>
      </c>
      <c r="Z36" s="9">
        <f t="shared" si="7"/>
        <v>0.25500684114840511</v>
      </c>
      <c r="AA36" s="9">
        <f t="shared" si="25"/>
        <v>-22.169757845614338</v>
      </c>
      <c r="AB36" s="9"/>
      <c r="AC36" s="10">
        <v>42580</v>
      </c>
      <c r="AD36" s="9">
        <v>5162.1298829999996</v>
      </c>
      <c r="AE36" s="11">
        <f t="shared" si="26"/>
        <v>1.3869894796370364E-3</v>
      </c>
      <c r="AF36" s="9">
        <f t="shared" si="8"/>
        <v>106.71709362669115</v>
      </c>
      <c r="AG36" s="9">
        <f t="shared" si="9"/>
        <v>0.80779410813167052</v>
      </c>
      <c r="AH36" s="9">
        <f t="shared" si="27"/>
        <v>-78.369317175211208</v>
      </c>
      <c r="AI36" s="9"/>
      <c r="AJ36" s="10">
        <v>42769</v>
      </c>
      <c r="AK36" s="9">
        <v>5666.7700199999999</v>
      </c>
      <c r="AL36" s="11">
        <f t="shared" si="28"/>
        <v>5.4238359075887265E-3</v>
      </c>
      <c r="AM36" s="9">
        <f t="shared" si="10"/>
        <v>104.02667870553049</v>
      </c>
      <c r="AN36" s="9">
        <f t="shared" si="11"/>
        <v>0.77797957115856953</v>
      </c>
      <c r="AO36" s="9">
        <f t="shared" si="29"/>
        <v>-75.363943920613323</v>
      </c>
      <c r="AP36" s="9"/>
      <c r="AQ36" s="10">
        <v>42957</v>
      </c>
      <c r="AR36" s="9">
        <v>6216.8701170000004</v>
      </c>
      <c r="AS36" s="11">
        <f t="shared" si="30"/>
        <v>-2.1324452498011324E-2</v>
      </c>
      <c r="AT36" s="9">
        <f t="shared" si="12"/>
        <v>101.24503203316915</v>
      </c>
      <c r="AU36" s="9">
        <f t="shared" si="13"/>
        <v>0.62942302988362264</v>
      </c>
      <c r="AV36" s="9">
        <f t="shared" si="31"/>
        <v>-60.266225845675109</v>
      </c>
      <c r="AW36" s="9"/>
      <c r="AX36" s="10">
        <v>43146</v>
      </c>
      <c r="AY36" s="9">
        <v>7256.4301759999998</v>
      </c>
      <c r="AZ36" s="11">
        <f t="shared" si="32"/>
        <v>1.5791721445481147E-2</v>
      </c>
      <c r="BA36" s="9">
        <f t="shared" si="14"/>
        <v>101.6796624145106</v>
      </c>
      <c r="BB36" s="9">
        <f t="shared" si="15"/>
        <v>0.59930758923750305</v>
      </c>
      <c r="BC36" s="9">
        <f t="shared" si="33"/>
        <v>-55.302862067314905</v>
      </c>
      <c r="BD36" s="9"/>
      <c r="BE36" s="10">
        <v>43334</v>
      </c>
      <c r="BF36" s="9">
        <v>7889.1000979999999</v>
      </c>
      <c r="BG36" s="11">
        <f t="shared" si="34"/>
        <v>3.8083126204227968E-3</v>
      </c>
      <c r="BH36" s="9">
        <f t="shared" si="16"/>
        <v>100.80654586596577</v>
      </c>
      <c r="BI36" s="9">
        <f t="shared" si="17"/>
        <v>0.56702783229468912</v>
      </c>
      <c r="BJ36" s="9">
        <f t="shared" si="35"/>
        <v>-49.732559497612641</v>
      </c>
    </row>
    <row r="37" spans="1:62" x14ac:dyDescent="0.3">
      <c r="A37" s="10">
        <v>41829</v>
      </c>
      <c r="B37" s="9">
        <v>4419.0297849999997</v>
      </c>
      <c r="C37" s="11">
        <f t="shared" si="18"/>
        <v>6.2780542791791962E-3</v>
      </c>
      <c r="D37" s="9">
        <f t="shared" si="0"/>
        <v>104.59043860517335</v>
      </c>
      <c r="E37" s="9">
        <f t="shared" si="1"/>
        <v>0.75511662743348795</v>
      </c>
      <c r="F37" s="9">
        <f t="shared" si="19"/>
        <v>-72.376668006789913</v>
      </c>
      <c r="G37" s="9"/>
      <c r="H37" s="10">
        <v>42017</v>
      </c>
      <c r="I37" s="9">
        <v>4661.5</v>
      </c>
      <c r="J37" s="11">
        <f t="shared" si="20"/>
        <v>-6.8813731761179625E-4</v>
      </c>
      <c r="K37" s="9">
        <f t="shared" si="2"/>
        <v>98.607039956108622</v>
      </c>
      <c r="L37" s="9">
        <f t="shared" si="3"/>
        <v>0.48039349628212752</v>
      </c>
      <c r="M37" s="9">
        <f t="shared" si="21"/>
        <v>-44.503729506597658</v>
      </c>
      <c r="N37" s="9"/>
      <c r="O37" s="10">
        <v>42206</v>
      </c>
      <c r="P37" s="9">
        <v>5208.1201170000004</v>
      </c>
      <c r="Q37" s="11">
        <f t="shared" si="22"/>
        <v>-2.0578720797123817E-3</v>
      </c>
      <c r="R37" s="9">
        <f t="shared" si="4"/>
        <v>103.87425273226319</v>
      </c>
      <c r="S37" s="9">
        <f t="shared" si="5"/>
        <v>0.66401889858857754</v>
      </c>
      <c r="T37" s="9">
        <f t="shared" si="23"/>
        <v>-61.229366570461913</v>
      </c>
      <c r="U37" s="9"/>
      <c r="V37" s="10">
        <v>42395</v>
      </c>
      <c r="W37" s="9">
        <v>4567.669922</v>
      </c>
      <c r="X37" s="11">
        <f t="shared" si="24"/>
        <v>1.0884097442535309E-2</v>
      </c>
      <c r="Y37" s="9">
        <f t="shared" si="6"/>
        <v>92.585334925347269</v>
      </c>
      <c r="Z37" s="9">
        <f t="shared" si="7"/>
        <v>0.28537229682210397</v>
      </c>
      <c r="AA37" s="9">
        <f t="shared" si="25"/>
        <v>-24.982064833984591</v>
      </c>
      <c r="AB37" s="9"/>
      <c r="AC37" s="10">
        <v>42583</v>
      </c>
      <c r="AD37" s="9">
        <v>5184.2001950000003</v>
      </c>
      <c r="AE37" s="11">
        <f t="shared" si="26"/>
        <v>4.275427488309236E-3</v>
      </c>
      <c r="AF37" s="9">
        <f t="shared" si="8"/>
        <v>107.17335482225516</v>
      </c>
      <c r="AG37" s="9">
        <f t="shared" si="9"/>
        <v>0.82298926478137757</v>
      </c>
      <c r="AH37" s="9">
        <f t="shared" si="27"/>
        <v>-80.007495656646071</v>
      </c>
      <c r="AI37" s="9"/>
      <c r="AJ37" s="10">
        <v>42772</v>
      </c>
      <c r="AK37" s="9">
        <v>5663.5498049999997</v>
      </c>
      <c r="AL37" s="11">
        <f t="shared" si="28"/>
        <v>-5.682628708479474E-4</v>
      </c>
      <c r="AM37" s="9">
        <f t="shared" si="10"/>
        <v>103.96756420644451</v>
      </c>
      <c r="AN37" s="9">
        <f t="shared" si="11"/>
        <v>0.77680411728583154</v>
      </c>
      <c r="AO37" s="9">
        <f t="shared" si="29"/>
        <v>-75.251026862552493</v>
      </c>
      <c r="AP37" s="9"/>
      <c r="AQ37" s="10">
        <v>42958</v>
      </c>
      <c r="AR37" s="9">
        <v>6256.5600590000004</v>
      </c>
      <c r="AS37" s="11">
        <f t="shared" si="30"/>
        <v>6.3842321382053691E-3</v>
      </c>
      <c r="AT37" s="9">
        <f t="shared" si="12"/>
        <v>101.89140382050894</v>
      </c>
      <c r="AU37" s="9">
        <f t="shared" si="13"/>
        <v>0.66802477569822827</v>
      </c>
      <c r="AV37" s="9">
        <f t="shared" si="31"/>
        <v>-64.201888661752236</v>
      </c>
      <c r="AW37" s="9"/>
      <c r="AX37" s="10">
        <v>43147</v>
      </c>
      <c r="AY37" s="9">
        <v>7239.4702150000003</v>
      </c>
      <c r="AZ37" s="11">
        <f t="shared" si="32"/>
        <v>-2.3372320257546383E-3</v>
      </c>
      <c r="BA37" s="9">
        <f t="shared" si="14"/>
        <v>101.44201345114749</v>
      </c>
      <c r="BB37" s="9">
        <f t="shared" si="15"/>
        <v>0.59162835383734702</v>
      </c>
      <c r="BC37" s="9">
        <f t="shared" si="33"/>
        <v>-54.526137733617048</v>
      </c>
      <c r="BD37" s="9"/>
      <c r="BE37" s="10">
        <v>43335</v>
      </c>
      <c r="BF37" s="9">
        <v>7878.4599609999996</v>
      </c>
      <c r="BG37" s="11">
        <f t="shared" si="34"/>
        <v>-1.3487136514718262E-3</v>
      </c>
      <c r="BH37" s="9">
        <f t="shared" si="16"/>
        <v>100.67058670139863</v>
      </c>
      <c r="BI37" s="9">
        <f t="shared" si="17"/>
        <v>0.56344780866388433</v>
      </c>
      <c r="BJ37" s="9">
        <f t="shared" si="35"/>
        <v>-49.374200264106157</v>
      </c>
    </row>
    <row r="38" spans="1:62" x14ac:dyDescent="0.3">
      <c r="A38" s="10">
        <v>41830</v>
      </c>
      <c r="B38" s="9">
        <v>4396.2001950000003</v>
      </c>
      <c r="C38" s="11">
        <f t="shared" si="18"/>
        <v>-5.1661996208969595E-3</v>
      </c>
      <c r="D38" s="9">
        <f t="shared" si="0"/>
        <v>104.05010352090184</v>
      </c>
      <c r="E38" s="9">
        <f t="shared" si="1"/>
        <v>0.73418546710536992</v>
      </c>
      <c r="F38" s="9">
        <f t="shared" si="19"/>
        <v>-70.201753052571661</v>
      </c>
      <c r="G38" s="9"/>
      <c r="H38" s="10">
        <v>42018</v>
      </c>
      <c r="I38" s="9">
        <v>4639.3198240000002</v>
      </c>
      <c r="J38" s="11">
        <f t="shared" si="20"/>
        <v>-4.7581628231255701E-3</v>
      </c>
      <c r="K38" s="9">
        <f t="shared" si="2"/>
        <v>98.137851604491004</v>
      </c>
      <c r="L38" s="9">
        <f t="shared" si="3"/>
        <v>0.45807683851948866</v>
      </c>
      <c r="M38" s="9">
        <f t="shared" si="21"/>
        <v>-42.315449616751337</v>
      </c>
      <c r="N38" s="9"/>
      <c r="O38" s="10">
        <v>42207</v>
      </c>
      <c r="P38" s="9">
        <v>5171.7700199999999</v>
      </c>
      <c r="Q38" s="11">
        <f t="shared" si="22"/>
        <v>-6.9795043477105844E-3</v>
      </c>
      <c r="R38" s="9">
        <f t="shared" si="4"/>
        <v>103.14926193370317</v>
      </c>
      <c r="S38" s="9">
        <f t="shared" si="5"/>
        <v>0.64281186834018678</v>
      </c>
      <c r="T38" s="9">
        <f t="shared" si="23"/>
        <v>-59.044393379578189</v>
      </c>
      <c r="U38" s="9"/>
      <c r="V38" s="10">
        <v>42396</v>
      </c>
      <c r="W38" s="9">
        <v>4468.169922</v>
      </c>
      <c r="X38" s="11">
        <f t="shared" si="24"/>
        <v>-2.1783535522293812E-2</v>
      </c>
      <c r="Y38" s="9">
        <f t="shared" si="6"/>
        <v>90.568498993157505</v>
      </c>
      <c r="Z38" s="9">
        <f t="shared" si="7"/>
        <v>0.22258111449160545</v>
      </c>
      <c r="AA38" s="9">
        <f t="shared" si="25"/>
        <v>-19.296188381600366</v>
      </c>
      <c r="AB38" s="9"/>
      <c r="AC38" s="10">
        <v>42584</v>
      </c>
      <c r="AD38" s="9">
        <v>5137.7299800000001</v>
      </c>
      <c r="AE38" s="11">
        <f t="shared" si="26"/>
        <v>-8.9638156807330394E-3</v>
      </c>
      <c r="AF38" s="9">
        <f t="shared" si="8"/>
        <v>106.21267262374268</v>
      </c>
      <c r="AG38" s="9">
        <f t="shared" si="9"/>
        <v>0.79472469015600211</v>
      </c>
      <c r="AH38" s="9">
        <f t="shared" si="27"/>
        <v>-77.008727691947414</v>
      </c>
      <c r="AI38" s="9"/>
      <c r="AJ38" s="10">
        <v>42773</v>
      </c>
      <c r="AK38" s="9">
        <v>5674.2202150000003</v>
      </c>
      <c r="AL38" s="11">
        <f t="shared" si="28"/>
        <v>1.8840498216472609E-3</v>
      </c>
      <c r="AM38" s="9">
        <f t="shared" si="10"/>
        <v>104.16344427724475</v>
      </c>
      <c r="AN38" s="9">
        <f t="shared" si="11"/>
        <v>0.78641840526646001</v>
      </c>
      <c r="AO38" s="9">
        <f t="shared" si="29"/>
        <v>-76.255576784386861</v>
      </c>
      <c r="AP38" s="9"/>
      <c r="AQ38" s="10">
        <v>42961</v>
      </c>
      <c r="AR38" s="9">
        <v>6340.2299800000001</v>
      </c>
      <c r="AS38" s="11">
        <f t="shared" si="30"/>
        <v>1.3373150774704278E-2</v>
      </c>
      <c r="AT38" s="9">
        <f t="shared" si="12"/>
        <v>103.25401292644689</v>
      </c>
      <c r="AU38" s="9">
        <f t="shared" si="13"/>
        <v>0.74391490595010423</v>
      </c>
      <c r="AV38" s="9">
        <f t="shared" si="31"/>
        <v>-72.045764941060639</v>
      </c>
      <c r="AW38" s="9"/>
      <c r="AX38" s="10">
        <v>43151</v>
      </c>
      <c r="AY38" s="9">
        <v>7234.3100590000004</v>
      </c>
      <c r="AZ38" s="11">
        <f t="shared" si="32"/>
        <v>-7.1278088682624893E-4</v>
      </c>
      <c r="BA38" s="9">
        <f t="shared" si="14"/>
        <v>101.36970752283835</v>
      </c>
      <c r="BB38" s="9">
        <f t="shared" si="15"/>
        <v>0.58930951467768722</v>
      </c>
      <c r="BC38" s="9">
        <f t="shared" si="33"/>
        <v>-54.300041623674957</v>
      </c>
      <c r="BD38" s="9"/>
      <c r="BE38" s="10">
        <v>43336</v>
      </c>
      <c r="BF38" s="9">
        <v>7945.9799800000001</v>
      </c>
      <c r="BG38" s="11">
        <f t="shared" si="34"/>
        <v>8.5702052601953314E-3</v>
      </c>
      <c r="BH38" s="9">
        <f t="shared" si="16"/>
        <v>101.53335429309391</v>
      </c>
      <c r="BI38" s="9">
        <f t="shared" si="17"/>
        <v>0.58543720738204741</v>
      </c>
      <c r="BJ38" s="9">
        <f t="shared" si="35"/>
        <v>-51.60888679326662</v>
      </c>
    </row>
    <row r="39" spans="1:62" x14ac:dyDescent="0.3">
      <c r="A39" s="10">
        <v>41831</v>
      </c>
      <c r="B39" s="9">
        <v>4415.4902339999999</v>
      </c>
      <c r="C39" s="11">
        <f t="shared" si="18"/>
        <v>4.3878891188665536E-3</v>
      </c>
      <c r="D39" s="9">
        <f t="shared" si="0"/>
        <v>104.50666383795814</v>
      </c>
      <c r="E39" s="9">
        <f t="shared" si="1"/>
        <v>0.75288905221551516</v>
      </c>
      <c r="F39" s="9">
        <f t="shared" si="19"/>
        <v>-72.159287397074053</v>
      </c>
      <c r="G39" s="9"/>
      <c r="H39" s="10">
        <v>42019</v>
      </c>
      <c r="I39" s="9">
        <v>4570.8198240000002</v>
      </c>
      <c r="J39" s="11">
        <f t="shared" si="20"/>
        <v>-1.476509544473259E-2</v>
      </c>
      <c r="K39" s="9">
        <f t="shared" si="2"/>
        <v>96.688836858809694</v>
      </c>
      <c r="L39" s="9">
        <f t="shared" si="3"/>
        <v>0.39008960527619646</v>
      </c>
      <c r="M39" s="9">
        <f t="shared" si="21"/>
        <v>-35.743582140022134</v>
      </c>
      <c r="N39" s="9"/>
      <c r="O39" s="10">
        <v>42208</v>
      </c>
      <c r="P39" s="9">
        <v>5146.4101559999999</v>
      </c>
      <c r="Q39" s="11">
        <f t="shared" si="22"/>
        <v>-4.9035173454986727E-3</v>
      </c>
      <c r="R39" s="9">
        <f t="shared" si="4"/>
        <v>102.64346773863586</v>
      </c>
      <c r="S39" s="9">
        <f t="shared" si="5"/>
        <v>0.6276082124116803</v>
      </c>
      <c r="T39" s="9">
        <f t="shared" si="23"/>
        <v>-57.486263944550821</v>
      </c>
      <c r="U39" s="9"/>
      <c r="V39" s="10">
        <v>42397</v>
      </c>
      <c r="W39" s="9">
        <v>4506.6801759999998</v>
      </c>
      <c r="X39" s="11">
        <f t="shared" si="24"/>
        <v>8.6187980028212992E-3</v>
      </c>
      <c r="Y39" s="9">
        <f t="shared" si="6"/>
        <v>91.349090591398237</v>
      </c>
      <c r="Z39" s="9">
        <f t="shared" si="7"/>
        <v>0.24472252782948745</v>
      </c>
      <c r="AA39" s="9">
        <f t="shared" si="25"/>
        <v>-21.319579364761839</v>
      </c>
      <c r="AB39" s="9"/>
      <c r="AC39" s="10">
        <v>42585</v>
      </c>
      <c r="AD39" s="9">
        <v>5159.7402339999999</v>
      </c>
      <c r="AE39" s="11">
        <f t="shared" si="26"/>
        <v>4.2840425802213537E-3</v>
      </c>
      <c r="AF39" s="9">
        <f t="shared" si="8"/>
        <v>106.66769223582189</v>
      </c>
      <c r="AG39" s="9">
        <f t="shared" si="9"/>
        <v>0.80941955323492709</v>
      </c>
      <c r="AH39" s="9">
        <f t="shared" si="27"/>
        <v>-78.579359631561474</v>
      </c>
      <c r="AI39" s="9"/>
      <c r="AJ39" s="10">
        <v>42774</v>
      </c>
      <c r="AK39" s="9">
        <v>5682.4501950000003</v>
      </c>
      <c r="AL39" s="11">
        <f t="shared" si="28"/>
        <v>1.4504160374748637E-3</v>
      </c>
      <c r="AM39" s="9">
        <f t="shared" si="10"/>
        <v>104.31452460734309</v>
      </c>
      <c r="AN39" s="9">
        <f t="shared" si="11"/>
        <v>0.79383286780915818</v>
      </c>
      <c r="AO39" s="9">
        <f t="shared" si="29"/>
        <v>-77.03214677496797</v>
      </c>
      <c r="AP39" s="9"/>
      <c r="AQ39" s="10">
        <v>42962</v>
      </c>
      <c r="AR39" s="9">
        <v>6333.0097660000001</v>
      </c>
      <c r="AS39" s="11">
        <f t="shared" si="30"/>
        <v>-1.1387937066598239E-3</v>
      </c>
      <c r="AT39" s="9">
        <f t="shared" si="12"/>
        <v>103.13642790633888</v>
      </c>
      <c r="AU39" s="9">
        <f t="shared" si="13"/>
        <v>0.73826694015042316</v>
      </c>
      <c r="AV39" s="9">
        <f t="shared" si="31"/>
        <v>-71.46621476924382</v>
      </c>
      <c r="AW39" s="9"/>
      <c r="AX39" s="10">
        <v>43152</v>
      </c>
      <c r="AY39" s="9">
        <v>7218.2299800000001</v>
      </c>
      <c r="AZ39" s="11">
        <f t="shared" si="32"/>
        <v>-2.2227522554131508E-3</v>
      </c>
      <c r="BA39" s="9">
        <f t="shared" si="14"/>
        <v>101.14438777681139</v>
      </c>
      <c r="BB39" s="9">
        <f t="shared" si="15"/>
        <v>0.58180747265400568</v>
      </c>
      <c r="BC39" s="9">
        <f t="shared" si="33"/>
        <v>-53.543483730527193</v>
      </c>
      <c r="BD39" s="9"/>
      <c r="BE39" s="10">
        <v>43339</v>
      </c>
      <c r="BF39" s="9">
        <v>8017.8999020000001</v>
      </c>
      <c r="BG39" s="11">
        <f t="shared" si="34"/>
        <v>9.0511078785778729E-3</v>
      </c>
      <c r="BH39" s="9">
        <f t="shared" si="16"/>
        <v>102.45234363607456</v>
      </c>
      <c r="BI39" s="9">
        <f t="shared" si="17"/>
        <v>0.60864910748327139</v>
      </c>
      <c r="BJ39" s="9">
        <f t="shared" si="35"/>
        <v>-53.993363490590909</v>
      </c>
    </row>
    <row r="40" spans="1:62" x14ac:dyDescent="0.3">
      <c r="A40" s="10">
        <v>41834</v>
      </c>
      <c r="B40" s="9">
        <v>4440.419922</v>
      </c>
      <c r="C40" s="11">
        <f t="shared" si="18"/>
        <v>5.6459615306217823E-3</v>
      </c>
      <c r="D40" s="9">
        <f t="shared" si="0"/>
        <v>105.09670444168088</v>
      </c>
      <c r="E40" s="9">
        <f t="shared" si="1"/>
        <v>0.77704890794288928</v>
      </c>
      <c r="F40" s="9">
        <f t="shared" si="19"/>
        <v>-74.707305512736269</v>
      </c>
      <c r="G40" s="9"/>
      <c r="H40" s="10">
        <v>42020</v>
      </c>
      <c r="I40" s="9">
        <v>4634.3798829999996</v>
      </c>
      <c r="J40" s="11">
        <f t="shared" si="20"/>
        <v>1.3905614626563204E-2</v>
      </c>
      <c r="K40" s="9">
        <f t="shared" si="2"/>
        <v>98.033354562858946</v>
      </c>
      <c r="L40" s="9">
        <f t="shared" si="3"/>
        <v>0.45224918001904096</v>
      </c>
      <c r="M40" s="9">
        <f t="shared" si="21"/>
        <v>-41.838762714782042</v>
      </c>
      <c r="N40" s="9"/>
      <c r="O40" s="10">
        <v>42209</v>
      </c>
      <c r="P40" s="9">
        <v>5088.6298829999996</v>
      </c>
      <c r="Q40" s="11">
        <f t="shared" si="22"/>
        <v>-1.1227296552070675E-2</v>
      </c>
      <c r="R40" s="9">
        <f t="shared" si="4"/>
        <v>101.49105908720131</v>
      </c>
      <c r="S40" s="9">
        <f t="shared" si="5"/>
        <v>0.59150669929006305</v>
      </c>
      <c r="T40" s="9">
        <f t="shared" si="23"/>
        <v>-53.824645640934726</v>
      </c>
      <c r="U40" s="9"/>
      <c r="V40" s="10">
        <v>42398</v>
      </c>
      <c r="W40" s="9">
        <v>4613.9501950000003</v>
      </c>
      <c r="X40" s="11">
        <f t="shared" si="24"/>
        <v>2.3802447657870034E-2</v>
      </c>
      <c r="Y40" s="9">
        <f t="shared" si="6"/>
        <v>93.523422538794023</v>
      </c>
      <c r="Z40" s="9">
        <f t="shared" si="7"/>
        <v>0.31349700660495627</v>
      </c>
      <c r="AA40" s="9">
        <f t="shared" si="25"/>
        <v>-27.752480168265784</v>
      </c>
      <c r="AB40" s="9"/>
      <c r="AC40" s="10">
        <v>42586</v>
      </c>
      <c r="AD40" s="9">
        <v>5166.25</v>
      </c>
      <c r="AE40" s="11">
        <f t="shared" si="26"/>
        <v>1.2616460722390946E-3</v>
      </c>
      <c r="AF40" s="9">
        <f t="shared" si="8"/>
        <v>106.80226911076602</v>
      </c>
      <c r="AG40" s="9">
        <f t="shared" si="9"/>
        <v>0.81410263683500139</v>
      </c>
      <c r="AH40" s="9">
        <f t="shared" si="27"/>
        <v>-79.082752941592958</v>
      </c>
      <c r="AI40" s="9"/>
      <c r="AJ40" s="10">
        <v>42775</v>
      </c>
      <c r="AK40" s="9">
        <v>5715.1801759999998</v>
      </c>
      <c r="AL40" s="11">
        <f t="shared" si="28"/>
        <v>5.7598359645630818E-3</v>
      </c>
      <c r="AM40" s="9">
        <f t="shared" si="10"/>
        <v>104.91535915780277</v>
      </c>
      <c r="AN40" s="9">
        <f t="shared" si="11"/>
        <v>0.82030770352959659</v>
      </c>
      <c r="AO40" s="9">
        <f t="shared" si="29"/>
        <v>-79.812929442933196</v>
      </c>
      <c r="AP40" s="9"/>
      <c r="AQ40" s="10">
        <v>42963</v>
      </c>
      <c r="AR40" s="9">
        <v>6345.1098629999997</v>
      </c>
      <c r="AS40" s="11">
        <f t="shared" si="30"/>
        <v>1.9106392453334408E-3</v>
      </c>
      <c r="AT40" s="9">
        <f t="shared" si="12"/>
        <v>103.33348441312023</v>
      </c>
      <c r="AU40" s="9">
        <f t="shared" si="13"/>
        <v>0.74891617701778213</v>
      </c>
      <c r="AV40" s="9">
        <f t="shared" si="31"/>
        <v>-72.569574549168394</v>
      </c>
      <c r="AW40" s="9"/>
      <c r="AX40" s="10">
        <v>43153</v>
      </c>
      <c r="AY40" s="9">
        <v>7210.0898440000001</v>
      </c>
      <c r="AZ40" s="11">
        <f t="shared" si="32"/>
        <v>-1.1277191254025387E-3</v>
      </c>
      <c r="BA40" s="9">
        <f t="shared" si="14"/>
        <v>101.03032531628835</v>
      </c>
      <c r="BB40" s="9">
        <f t="shared" si="15"/>
        <v>0.57795899029526632</v>
      </c>
      <c r="BC40" s="9">
        <f t="shared" si="33"/>
        <v>-53.15687076820403</v>
      </c>
      <c r="BD40" s="9"/>
      <c r="BE40" s="10">
        <v>43340</v>
      </c>
      <c r="BF40" s="9">
        <v>8030.0400390000004</v>
      </c>
      <c r="BG40" s="11">
        <f t="shared" si="34"/>
        <v>1.5141292792857221E-3</v>
      </c>
      <c r="BH40" s="9">
        <f t="shared" si="16"/>
        <v>102.60746972930539</v>
      </c>
      <c r="BI40" s="9">
        <f t="shared" si="17"/>
        <v>0.61259873102082751</v>
      </c>
      <c r="BJ40" s="9">
        <f t="shared" si="35"/>
        <v>-54.400843319106343</v>
      </c>
    </row>
    <row r="41" spans="1:62" x14ac:dyDescent="0.3">
      <c r="A41" s="10">
        <v>41835</v>
      </c>
      <c r="B41" s="9">
        <v>4416.3901370000003</v>
      </c>
      <c r="C41" s="11">
        <f t="shared" si="18"/>
        <v>-5.4116019255171068E-3</v>
      </c>
      <c r="D41" s="9">
        <f t="shared" si="0"/>
        <v>104.52796291355877</v>
      </c>
      <c r="E41" s="9">
        <f t="shared" si="1"/>
        <v>0.75584116086893238</v>
      </c>
      <c r="F41" s="9">
        <f t="shared" si="19"/>
        <v>-72.493573139436222</v>
      </c>
      <c r="G41" s="9"/>
      <c r="H41" s="10">
        <v>42024</v>
      </c>
      <c r="I41" s="9">
        <v>4654.8500979999999</v>
      </c>
      <c r="J41" s="11">
        <f t="shared" si="20"/>
        <v>4.4170343210512084E-3</v>
      </c>
      <c r="K41" s="9">
        <f t="shared" si="2"/>
        <v>98.466371254570873</v>
      </c>
      <c r="L41" s="9">
        <f t="shared" si="3"/>
        <v>0.47098866933274636</v>
      </c>
      <c r="M41" s="9">
        <f t="shared" si="21"/>
        <v>-43.690850396809807</v>
      </c>
      <c r="N41" s="9"/>
      <c r="O41" s="10">
        <v>42212</v>
      </c>
      <c r="P41" s="9">
        <v>5039.7797849999997</v>
      </c>
      <c r="Q41" s="11">
        <f t="shared" si="22"/>
        <v>-9.5998528333132247E-3</v>
      </c>
      <c r="R41" s="9">
        <f t="shared" si="4"/>
        <v>100.51675985606707</v>
      </c>
      <c r="S41" s="9">
        <f t="shared" si="5"/>
        <v>0.55961572610537735</v>
      </c>
      <c r="T41" s="9">
        <f t="shared" si="23"/>
        <v>-50.625704672049487</v>
      </c>
      <c r="U41" s="9"/>
      <c r="V41" s="10">
        <v>42401</v>
      </c>
      <c r="W41" s="9">
        <v>4620.3701170000004</v>
      </c>
      <c r="X41" s="11">
        <f t="shared" si="24"/>
        <v>1.3914155395429104E-3</v>
      </c>
      <c r="Y41" s="9">
        <f t="shared" si="6"/>
        <v>93.653552482225749</v>
      </c>
      <c r="Z41" s="9">
        <f t="shared" si="7"/>
        <v>0.31521393867573472</v>
      </c>
      <c r="AA41" s="9">
        <f t="shared" si="25"/>
        <v>-27.916698705641167</v>
      </c>
      <c r="AB41" s="9"/>
      <c r="AC41" s="10">
        <v>42587</v>
      </c>
      <c r="AD41" s="9">
        <v>5221.1201170000004</v>
      </c>
      <c r="AE41" s="11">
        <f t="shared" si="26"/>
        <v>1.0620879167674888E-2</v>
      </c>
      <c r="AF41" s="9">
        <f t="shared" si="8"/>
        <v>107.93660310582499</v>
      </c>
      <c r="AG41" s="9">
        <f t="shared" si="9"/>
        <v>0.84654531769527219</v>
      </c>
      <c r="AH41" s="9">
        <f t="shared" si="27"/>
        <v>-82.587755752226471</v>
      </c>
      <c r="AI41" s="9"/>
      <c r="AJ41" s="10">
        <v>42776</v>
      </c>
      <c r="AK41" s="9">
        <v>5734.1298829999996</v>
      </c>
      <c r="AL41" s="11">
        <f t="shared" si="28"/>
        <v>3.3156797190009996E-3</v>
      </c>
      <c r="AM41" s="9">
        <f t="shared" si="10"/>
        <v>105.263224886374</v>
      </c>
      <c r="AN41" s="9">
        <f t="shared" si="11"/>
        <v>0.83490190924024332</v>
      </c>
      <c r="AO41" s="9">
        <f t="shared" si="29"/>
        <v>-81.352442651490605</v>
      </c>
      <c r="AP41" s="9"/>
      <c r="AQ41" s="10">
        <v>42964</v>
      </c>
      <c r="AR41" s="9">
        <v>6221.9101559999999</v>
      </c>
      <c r="AS41" s="11">
        <f t="shared" si="30"/>
        <v>-1.9416481299781675E-2</v>
      </c>
      <c r="AT41" s="9">
        <f t="shared" si="12"/>
        <v>101.32711174537161</v>
      </c>
      <c r="AU41" s="9">
        <f t="shared" si="13"/>
        <v>0.63521496951235812</v>
      </c>
      <c r="AV41" s="9">
        <f t="shared" si="31"/>
        <v>-61.051541963246656</v>
      </c>
      <c r="AW41" s="9"/>
      <c r="AX41" s="10">
        <v>43154</v>
      </c>
      <c r="AY41" s="9">
        <v>7337.3901370000003</v>
      </c>
      <c r="AZ41" s="11">
        <f t="shared" si="32"/>
        <v>1.7655853915043148E-2</v>
      </c>
      <c r="BA41" s="9">
        <f t="shared" si="14"/>
        <v>102.81410198106202</v>
      </c>
      <c r="BB41" s="9">
        <f t="shared" si="15"/>
        <v>0.63659227226672899</v>
      </c>
      <c r="BC41" s="9">
        <f t="shared" si="33"/>
        <v>-59.18738357412623</v>
      </c>
      <c r="BD41" s="9"/>
      <c r="BE41" s="10">
        <v>43341</v>
      </c>
      <c r="BF41" s="9">
        <v>8109.6899409999996</v>
      </c>
      <c r="BG41" s="11">
        <f t="shared" si="34"/>
        <v>9.9189918871087218E-3</v>
      </c>
      <c r="BH41" s="9">
        <f t="shared" si="16"/>
        <v>103.62523238910713</v>
      </c>
      <c r="BI41" s="9">
        <f t="shared" si="17"/>
        <v>0.63781653489535772</v>
      </c>
      <c r="BJ41" s="9">
        <f t="shared" si="35"/>
        <v>-57.01627980298143</v>
      </c>
    </row>
    <row r="42" spans="1:62" x14ac:dyDescent="0.3">
      <c r="A42" s="10">
        <v>41836</v>
      </c>
      <c r="B42" s="9">
        <v>4425.9702150000003</v>
      </c>
      <c r="C42" s="11">
        <f t="shared" si="18"/>
        <v>2.1692100794581492E-3</v>
      </c>
      <c r="D42" s="9">
        <f t="shared" si="0"/>
        <v>104.75470602429611</v>
      </c>
      <c r="E42" s="9">
        <f t="shared" si="1"/>
        <v>0.76524774077064406</v>
      </c>
      <c r="F42" s="9">
        <f t="shared" si="19"/>
        <v>-73.481935900888345</v>
      </c>
      <c r="G42" s="9"/>
      <c r="H42" s="10">
        <v>42025</v>
      </c>
      <c r="I42" s="9">
        <v>4667.419922</v>
      </c>
      <c r="J42" s="11">
        <f t="shared" si="20"/>
        <v>2.7003713836887887E-3</v>
      </c>
      <c r="K42" s="9">
        <f t="shared" si="2"/>
        <v>98.732267025762383</v>
      </c>
      <c r="L42" s="9">
        <f t="shared" si="3"/>
        <v>0.48330307152380403</v>
      </c>
      <c r="M42" s="9">
        <f t="shared" si="21"/>
        <v>-44.908474793494449</v>
      </c>
      <c r="N42" s="9"/>
      <c r="O42" s="10">
        <v>42213</v>
      </c>
      <c r="P42" s="9">
        <v>5089.2099609999996</v>
      </c>
      <c r="Q42" s="11">
        <f t="shared" si="22"/>
        <v>9.8080031486931021E-3</v>
      </c>
      <c r="R42" s="9">
        <f t="shared" si="4"/>
        <v>101.5026285532318</v>
      </c>
      <c r="S42" s="9">
        <f t="shared" si="5"/>
        <v>0.59198476153547164</v>
      </c>
      <c r="T42" s="9">
        <f t="shared" si="23"/>
        <v>-53.913327403098677</v>
      </c>
      <c r="U42" s="9"/>
      <c r="V42" s="10">
        <v>42402</v>
      </c>
      <c r="W42" s="9">
        <v>4516.9501950000003</v>
      </c>
      <c r="X42" s="11">
        <f t="shared" si="24"/>
        <v>-2.2383471319641909E-2</v>
      </c>
      <c r="Y42" s="9">
        <f t="shared" si="6"/>
        <v>91.55726087625726</v>
      </c>
      <c r="Z42" s="9">
        <f t="shared" si="7"/>
        <v>0.24597563061952615</v>
      </c>
      <c r="AA42" s="9">
        <f t="shared" si="25"/>
        <v>-21.578576157473044</v>
      </c>
      <c r="AB42" s="9"/>
      <c r="AC42" s="10">
        <v>42590</v>
      </c>
      <c r="AD42" s="9">
        <v>5213.1401370000003</v>
      </c>
      <c r="AE42" s="11">
        <f t="shared" si="26"/>
        <v>-1.5284038331194877E-3</v>
      </c>
      <c r="AF42" s="9">
        <f t="shared" si="8"/>
        <v>107.77163238790412</v>
      </c>
      <c r="AG42" s="9">
        <f t="shared" si="9"/>
        <v>0.84426453181626004</v>
      </c>
      <c r="AH42" s="9">
        <f t="shared" si="27"/>
        <v>-82.352134414683647</v>
      </c>
      <c r="AI42" s="9"/>
      <c r="AJ42" s="10">
        <v>42779</v>
      </c>
      <c r="AK42" s="9">
        <v>5763.9599609999996</v>
      </c>
      <c r="AL42" s="11">
        <f t="shared" si="28"/>
        <v>5.2021978240216222E-3</v>
      </c>
      <c r="AM42" s="9">
        <f t="shared" si="10"/>
        <v>105.8108250058274</v>
      </c>
      <c r="AN42" s="9">
        <f t="shared" si="11"/>
        <v>0.85735202524531884</v>
      </c>
      <c r="AO42" s="9">
        <f t="shared" si="29"/>
        <v>-83.737938318965661</v>
      </c>
      <c r="AP42" s="9"/>
      <c r="AQ42" s="10">
        <v>42965</v>
      </c>
      <c r="AR42" s="9">
        <v>6216.5297849999997</v>
      </c>
      <c r="AS42" s="11">
        <f t="shared" si="30"/>
        <v>-8.6474585217398555E-4</v>
      </c>
      <c r="AT42" s="9">
        <f t="shared" si="12"/>
        <v>101.23948954577702</v>
      </c>
      <c r="AU42" s="9">
        <f t="shared" si="13"/>
        <v>0.62988995236181677</v>
      </c>
      <c r="AV42" s="9">
        <f t="shared" si="31"/>
        <v>-60.51494896413611</v>
      </c>
      <c r="AW42" s="9"/>
      <c r="AX42" s="10">
        <v>43157</v>
      </c>
      <c r="AY42" s="9">
        <v>7421.4599609999996</v>
      </c>
      <c r="AZ42" s="11">
        <f t="shared" si="32"/>
        <v>1.14577284879624E-2</v>
      </c>
      <c r="BA42" s="9">
        <f t="shared" si="14"/>
        <v>103.99211804629471</v>
      </c>
      <c r="BB42" s="9">
        <f t="shared" si="15"/>
        <v>0.67414349551354991</v>
      </c>
      <c r="BC42" s="9">
        <f t="shared" si="33"/>
        <v>-63.099712339317783</v>
      </c>
      <c r="BD42" s="9"/>
      <c r="BE42" s="10">
        <v>43342</v>
      </c>
      <c r="BF42" s="9">
        <v>8088.3598629999997</v>
      </c>
      <c r="BG42" s="11">
        <f t="shared" si="34"/>
        <v>-2.6301964878042874E-3</v>
      </c>
      <c r="BH42" s="9">
        <f t="shared" si="16"/>
        <v>103.35267766682941</v>
      </c>
      <c r="BI42" s="9">
        <f t="shared" si="17"/>
        <v>0.63130788686833905</v>
      </c>
      <c r="BJ42" s="9">
        <f t="shared" si="35"/>
        <v>-56.345936784331812</v>
      </c>
    </row>
    <row r="43" spans="1:62" x14ac:dyDescent="0.3">
      <c r="A43" s="10">
        <v>41837</v>
      </c>
      <c r="B43" s="9">
        <v>4363.4501950000003</v>
      </c>
      <c r="C43" s="11">
        <f t="shared" si="18"/>
        <v>-1.4125720907048609E-2</v>
      </c>
      <c r="D43" s="9">
        <f t="shared" si="0"/>
        <v>103.27497028329698</v>
      </c>
      <c r="E43" s="9">
        <f t="shared" si="1"/>
        <v>0.70434926905975381</v>
      </c>
      <c r="F43" s="9">
        <f t="shared" si="19"/>
        <v>-67.195667912284563</v>
      </c>
      <c r="G43" s="9"/>
      <c r="H43" s="10">
        <v>42026</v>
      </c>
      <c r="I43" s="9">
        <v>4750.3999020000001</v>
      </c>
      <c r="J43" s="11">
        <f t="shared" si="20"/>
        <v>1.7778554616196384E-2</v>
      </c>
      <c r="K43" s="9">
        <f t="shared" si="2"/>
        <v>100.48758402746078</v>
      </c>
      <c r="L43" s="9">
        <f t="shared" si="3"/>
        <v>0.56627552823033211</v>
      </c>
      <c r="M43" s="9">
        <f t="shared" si="21"/>
        <v>-53.248022100438028</v>
      </c>
      <c r="N43" s="9"/>
      <c r="O43" s="10">
        <v>42214</v>
      </c>
      <c r="P43" s="9">
        <v>5111.7299800000001</v>
      </c>
      <c r="Q43" s="11">
        <f t="shared" si="22"/>
        <v>4.4250520557370466E-3</v>
      </c>
      <c r="R43" s="9">
        <f t="shared" si="4"/>
        <v>101.95178296837399</v>
      </c>
      <c r="S43" s="9">
        <f t="shared" si="5"/>
        <v>0.60656167915524573</v>
      </c>
      <c r="T43" s="9">
        <f t="shared" si="23"/>
        <v>-55.40168580633938</v>
      </c>
      <c r="U43" s="9"/>
      <c r="V43" s="10">
        <v>42403</v>
      </c>
      <c r="W43" s="9">
        <v>4504.2402339999999</v>
      </c>
      <c r="X43" s="11">
        <f t="shared" si="24"/>
        <v>-2.813836870300155E-3</v>
      </c>
      <c r="Y43" s="9">
        <f t="shared" si="6"/>
        <v>91.299633679859966</v>
      </c>
      <c r="Z43" s="9">
        <f t="shared" si="7"/>
        <v>0.23700820388593055</v>
      </c>
      <c r="AA43" s="9">
        <f t="shared" si="25"/>
        <v>-20.76074019066775</v>
      </c>
      <c r="AB43" s="9"/>
      <c r="AC43" s="10">
        <v>42591</v>
      </c>
      <c r="AD43" s="9">
        <v>5225.4799800000001</v>
      </c>
      <c r="AE43" s="11">
        <f t="shared" si="26"/>
        <v>2.367065276534258E-3</v>
      </c>
      <c r="AF43" s="9">
        <f t="shared" si="8"/>
        <v>108.02673487672496</v>
      </c>
      <c r="AG43" s="9">
        <f t="shared" si="9"/>
        <v>0.85170150335290851</v>
      </c>
      <c r="AH43" s="9">
        <f t="shared" si="27"/>
        <v>-83.158910570991992</v>
      </c>
      <c r="AI43" s="9"/>
      <c r="AJ43" s="10">
        <v>42780</v>
      </c>
      <c r="AK43" s="9">
        <v>5782.5698240000002</v>
      </c>
      <c r="AL43" s="11">
        <f t="shared" si="28"/>
        <v>3.2286593116396195E-3</v>
      </c>
      <c r="AM43" s="9">
        <f t="shared" si="10"/>
        <v>106.15245211125475</v>
      </c>
      <c r="AN43" s="9">
        <f t="shared" si="11"/>
        <v>0.86984809444608513</v>
      </c>
      <c r="AO43" s="9">
        <f t="shared" si="29"/>
        <v>-85.067868062227618</v>
      </c>
      <c r="AP43" s="9"/>
      <c r="AQ43" s="10">
        <v>42968</v>
      </c>
      <c r="AR43" s="9">
        <v>6213.1298829999996</v>
      </c>
      <c r="AS43" s="11">
        <f t="shared" si="30"/>
        <v>-5.4691316821224101E-4</v>
      </c>
      <c r="AT43" s="9">
        <f t="shared" si="12"/>
        <v>101.18412033580135</v>
      </c>
      <c r="AU43" s="9">
        <f t="shared" si="13"/>
        <v>0.62673119732964466</v>
      </c>
      <c r="AV43" s="9">
        <f t="shared" si="31"/>
        <v>-60.202794321910034</v>
      </c>
      <c r="AW43" s="9"/>
      <c r="AX43" s="10">
        <v>43158</v>
      </c>
      <c r="AY43" s="9">
        <v>7330.3500979999999</v>
      </c>
      <c r="AZ43" s="11">
        <f t="shared" si="32"/>
        <v>-1.2276541742296639E-2</v>
      </c>
      <c r="BA43" s="9">
        <f t="shared" si="14"/>
        <v>102.71545446822954</v>
      </c>
      <c r="BB43" s="9">
        <f t="shared" si="15"/>
        <v>0.63415288273534287</v>
      </c>
      <c r="BC43" s="9">
        <f t="shared" si="33"/>
        <v>-58.994651565488915</v>
      </c>
      <c r="BD43" s="9"/>
      <c r="BE43" s="10">
        <v>43343</v>
      </c>
      <c r="BF43" s="9">
        <v>8109.5400390000004</v>
      </c>
      <c r="BG43" s="11">
        <f t="shared" si="34"/>
        <v>2.6185996121276629E-3</v>
      </c>
      <c r="BH43" s="9">
        <f t="shared" si="16"/>
        <v>103.62331694848011</v>
      </c>
      <c r="BI43" s="9">
        <f t="shared" si="17"/>
        <v>0.63811020621610737</v>
      </c>
      <c r="BJ43" s="9">
        <f t="shared" si="35"/>
        <v>-57.053131312114772</v>
      </c>
    </row>
    <row r="44" spans="1:62" x14ac:dyDescent="0.3">
      <c r="A44" s="10">
        <v>41838</v>
      </c>
      <c r="B44" s="9">
        <v>4432.1499020000001</v>
      </c>
      <c r="C44" s="11">
        <f t="shared" si="18"/>
        <v>1.5744354565733677E-2</v>
      </c>
      <c r="D44" s="9">
        <f t="shared" si="0"/>
        <v>104.90096803320282</v>
      </c>
      <c r="E44" s="9">
        <f t="shared" si="1"/>
        <v>0.77203731010191157</v>
      </c>
      <c r="F44" s="9">
        <f t="shared" si="19"/>
        <v>-74.298970464425906</v>
      </c>
      <c r="G44" s="9"/>
      <c r="H44" s="10">
        <v>42027</v>
      </c>
      <c r="I44" s="9">
        <v>4757.8798829999996</v>
      </c>
      <c r="J44" s="11">
        <f t="shared" si="20"/>
        <v>1.5746002766736115E-3</v>
      </c>
      <c r="K44" s="9">
        <f t="shared" si="2"/>
        <v>100.64581180507271</v>
      </c>
      <c r="L44" s="9">
        <f t="shared" si="3"/>
        <v>0.5735838733478722</v>
      </c>
      <c r="M44" s="9">
        <f t="shared" si="21"/>
        <v>-53.985764747590494</v>
      </c>
      <c r="N44" s="9"/>
      <c r="O44" s="10">
        <v>42215</v>
      </c>
      <c r="P44" s="9">
        <v>5128.7797849999997</v>
      </c>
      <c r="Q44" s="11">
        <f t="shared" si="22"/>
        <v>3.3354275493244364E-3</v>
      </c>
      <c r="R44" s="9">
        <f t="shared" si="4"/>
        <v>102.29183575398946</v>
      </c>
      <c r="S44" s="9">
        <f t="shared" si="5"/>
        <v>0.61756170138596644</v>
      </c>
      <c r="T44" s="9">
        <f t="shared" si="23"/>
        <v>-56.529175102046793</v>
      </c>
      <c r="U44" s="9"/>
      <c r="V44" s="10">
        <v>42404</v>
      </c>
      <c r="W44" s="9">
        <v>4509.5600590000004</v>
      </c>
      <c r="X44" s="11">
        <f t="shared" si="24"/>
        <v>1.1810704411021635E-3</v>
      </c>
      <c r="Y44" s="9">
        <f t="shared" si="6"/>
        <v>91.407464978482693</v>
      </c>
      <c r="Z44" s="9">
        <f t="shared" si="7"/>
        <v>0.23924965546266502</v>
      </c>
      <c r="AA44" s="9">
        <f t="shared" si="25"/>
        <v>-20.966478795804154</v>
      </c>
      <c r="AB44" s="9"/>
      <c r="AC44" s="10">
        <v>42592</v>
      </c>
      <c r="AD44" s="9">
        <v>5204.580078</v>
      </c>
      <c r="AE44" s="11">
        <f t="shared" si="26"/>
        <v>-3.9996138306896949E-3</v>
      </c>
      <c r="AF44" s="9">
        <f t="shared" si="8"/>
        <v>107.59466965382775</v>
      </c>
      <c r="AG44" s="9">
        <f t="shared" si="9"/>
        <v>0.84088745435897105</v>
      </c>
      <c r="AH44" s="9">
        <f t="shared" si="27"/>
        <v>-81.998794101567839</v>
      </c>
      <c r="AI44" s="9"/>
      <c r="AJ44" s="10">
        <v>42781</v>
      </c>
      <c r="AK44" s="9">
        <v>5819.4399409999996</v>
      </c>
      <c r="AL44" s="11">
        <f t="shared" si="28"/>
        <v>6.376078131728493E-3</v>
      </c>
      <c r="AM44" s="9">
        <f t="shared" si="10"/>
        <v>106.82928843979067</v>
      </c>
      <c r="AN44" s="9">
        <f t="shared" si="11"/>
        <v>0.89178774501479585</v>
      </c>
      <c r="AO44" s="9">
        <f t="shared" si="29"/>
        <v>-87.415161332719364</v>
      </c>
      <c r="AP44" s="9"/>
      <c r="AQ44" s="10">
        <v>42969</v>
      </c>
      <c r="AR44" s="9">
        <v>6297.4799800000001</v>
      </c>
      <c r="AS44" s="11">
        <f t="shared" si="30"/>
        <v>1.3576103926427521E-2</v>
      </c>
      <c r="AT44" s="9">
        <f t="shared" si="12"/>
        <v>102.55780646918433</v>
      </c>
      <c r="AU44" s="9">
        <f t="shared" si="13"/>
        <v>0.70966932055354148</v>
      </c>
      <c r="AV44" s="9">
        <f t="shared" si="31"/>
        <v>-68.711220450699798</v>
      </c>
      <c r="AW44" s="9"/>
      <c r="AX44" s="10">
        <v>43159</v>
      </c>
      <c r="AY44" s="9">
        <v>7273.0097660000001</v>
      </c>
      <c r="AZ44" s="11">
        <f t="shared" si="32"/>
        <v>-7.8223183386076471E-3</v>
      </c>
      <c r="BA44" s="9">
        <f t="shared" si="14"/>
        <v>101.9119814850843</v>
      </c>
      <c r="BB44" s="9">
        <f t="shared" si="15"/>
        <v>0.60778724773053261</v>
      </c>
      <c r="BC44" s="9">
        <f t="shared" si="33"/>
        <v>-56.310101946589654</v>
      </c>
      <c r="BD44" s="9"/>
      <c r="BE44" s="10">
        <v>43347</v>
      </c>
      <c r="BF44" s="9">
        <v>8091.25</v>
      </c>
      <c r="BG44" s="11">
        <f t="shared" si="34"/>
        <v>-2.2553731669170975E-3</v>
      </c>
      <c r="BH44" s="9">
        <f t="shared" si="16"/>
        <v>103.38960769996757</v>
      </c>
      <c r="BI44" s="9">
        <f t="shared" si="17"/>
        <v>0.63300321339360677</v>
      </c>
      <c r="BJ44" s="9">
        <f t="shared" si="35"/>
        <v>-56.534500695483722</v>
      </c>
    </row>
    <row r="45" spans="1:62" x14ac:dyDescent="0.3">
      <c r="A45" s="10">
        <v>41841</v>
      </c>
      <c r="B45" s="9">
        <v>4424.7001950000003</v>
      </c>
      <c r="C45" s="11">
        <f t="shared" si="18"/>
        <v>-1.6808337183356759E-3</v>
      </c>
      <c r="D45" s="9">
        <f t="shared" si="0"/>
        <v>104.72464694904656</v>
      </c>
      <c r="E45" s="9">
        <f t="shared" si="1"/>
        <v>0.76700448951175981</v>
      </c>
      <c r="F45" s="9">
        <f t="shared" si="19"/>
        <v>-73.781070816697749</v>
      </c>
      <c r="G45" s="9"/>
      <c r="H45" s="10">
        <v>42030</v>
      </c>
      <c r="I45" s="9">
        <v>4771.7597660000001</v>
      </c>
      <c r="J45" s="11">
        <f t="shared" si="20"/>
        <v>2.9172411539000005E-3</v>
      </c>
      <c r="K45" s="9">
        <f t="shared" si="2"/>
        <v>100.93941990923814</v>
      </c>
      <c r="L45" s="9">
        <f t="shared" si="3"/>
        <v>0.58719945625757486</v>
      </c>
      <c r="M45" s="9">
        <f t="shared" si="21"/>
        <v>-55.366769977742102</v>
      </c>
      <c r="N45" s="9"/>
      <c r="O45" s="10">
        <v>42216</v>
      </c>
      <c r="P45" s="9">
        <v>5128.2797849999997</v>
      </c>
      <c r="Q45" s="11">
        <f t="shared" si="22"/>
        <v>-9.7489075561859017E-5</v>
      </c>
      <c r="R45" s="9">
        <f t="shared" si="4"/>
        <v>102.28186341748429</v>
      </c>
      <c r="S45" s="9">
        <f t="shared" si="5"/>
        <v>0.61737072477190447</v>
      </c>
      <c r="T45" s="9">
        <f t="shared" si="23"/>
        <v>-56.511964822612313</v>
      </c>
      <c r="U45" s="9"/>
      <c r="V45" s="10">
        <v>42405</v>
      </c>
      <c r="W45" s="9">
        <v>4363.1401370000003</v>
      </c>
      <c r="X45" s="11">
        <f t="shared" si="24"/>
        <v>-3.2468781895427026E-2</v>
      </c>
      <c r="Y45" s="9">
        <f t="shared" si="6"/>
        <v>88.439575934482463</v>
      </c>
      <c r="Z45" s="9">
        <f t="shared" si="7"/>
        <v>0.15570454811767176</v>
      </c>
      <c r="AA45" s="9">
        <f t="shared" si="25"/>
        <v>-13.578646584632121</v>
      </c>
      <c r="AB45" s="9"/>
      <c r="AC45" s="10">
        <v>42593</v>
      </c>
      <c r="AD45" s="9">
        <v>5228.3999020000001</v>
      </c>
      <c r="AE45" s="11">
        <f t="shared" si="26"/>
        <v>4.5767042956429181E-3</v>
      </c>
      <c r="AF45" s="9">
        <f t="shared" si="8"/>
        <v>108.08709864062071</v>
      </c>
      <c r="AG45" s="9">
        <f t="shared" si="9"/>
        <v>0.85470630693741079</v>
      </c>
      <c r="AH45" s="9">
        <f t="shared" si="27"/>
        <v>-83.495803666013771</v>
      </c>
      <c r="AI45" s="9"/>
      <c r="AJ45" s="10">
        <v>42782</v>
      </c>
      <c r="AK45" s="9">
        <v>5814.8999020000001</v>
      </c>
      <c r="AL45" s="11">
        <f t="shared" si="28"/>
        <v>-7.8015050348975224E-4</v>
      </c>
      <c r="AM45" s="9">
        <f t="shared" si="10"/>
        <v>106.7459455166269</v>
      </c>
      <c r="AN45" s="9">
        <f t="shared" si="11"/>
        <v>0.89001481270341554</v>
      </c>
      <c r="AO45" s="9">
        <f t="shared" si="29"/>
        <v>-87.229500474512008</v>
      </c>
      <c r="AP45" s="9"/>
      <c r="AQ45" s="10">
        <v>42970</v>
      </c>
      <c r="AR45" s="9">
        <v>6278.4101559999999</v>
      </c>
      <c r="AS45" s="11">
        <f t="shared" si="30"/>
        <v>-3.0281674670762752E-3</v>
      </c>
      <c r="AT45" s="9">
        <f t="shared" si="12"/>
        <v>102.24724425613965</v>
      </c>
      <c r="AU45" s="9">
        <f t="shared" si="13"/>
        <v>0.69212332521416109</v>
      </c>
      <c r="AV45" s="9">
        <f t="shared" si="31"/>
        <v>-66.920014586325749</v>
      </c>
      <c r="AW45" s="9"/>
      <c r="AX45" s="10">
        <v>43160</v>
      </c>
      <c r="AY45" s="9">
        <v>7180.5600590000004</v>
      </c>
      <c r="AZ45" s="11">
        <f t="shared" si="32"/>
        <v>-1.2711340968107228E-2</v>
      </c>
      <c r="BA45" s="9">
        <f t="shared" si="14"/>
        <v>100.61654353969193</v>
      </c>
      <c r="BB45" s="9">
        <f t="shared" si="15"/>
        <v>0.56342129988116485</v>
      </c>
      <c r="BC45" s="9">
        <f t="shared" si="33"/>
        <v>-51.848467784453597</v>
      </c>
      <c r="BD45" s="9"/>
      <c r="BE45" s="10">
        <v>43348</v>
      </c>
      <c r="BF45" s="9">
        <v>7995.169922</v>
      </c>
      <c r="BG45" s="11">
        <f t="shared" si="34"/>
        <v>-1.1874565487409233E-2</v>
      </c>
      <c r="BH45" s="9">
        <f t="shared" si="16"/>
        <v>102.16190103261675</v>
      </c>
      <c r="BI45" s="9">
        <f t="shared" si="17"/>
        <v>0.60176647390000038</v>
      </c>
      <c r="BJ45" s="9">
        <f t="shared" si="35"/>
        <v>-53.345619390141721</v>
      </c>
    </row>
    <row r="46" spans="1:62" x14ac:dyDescent="0.3">
      <c r="A46" s="10">
        <v>41842</v>
      </c>
      <c r="B46" s="9">
        <v>4456.0200199999999</v>
      </c>
      <c r="C46" s="11">
        <f t="shared" si="18"/>
        <v>7.0784061336837262E-3</v>
      </c>
      <c r="D46" s="9">
        <f t="shared" si="0"/>
        <v>105.46593053235853</v>
      </c>
      <c r="E46" s="9">
        <f t="shared" si="1"/>
        <v>0.79562576627649795</v>
      </c>
      <c r="F46" s="9">
        <f t="shared" si="19"/>
        <v>-76.802672564819957</v>
      </c>
      <c r="G46" s="9"/>
      <c r="H46" s="10">
        <v>42031</v>
      </c>
      <c r="I46" s="9">
        <v>4681.5</v>
      </c>
      <c r="J46" s="11">
        <f t="shared" si="20"/>
        <v>-1.8915404468415168E-2</v>
      </c>
      <c r="K46" s="9">
        <f t="shared" si="2"/>
        <v>99.030109954847688</v>
      </c>
      <c r="L46" s="9">
        <f t="shared" si="3"/>
        <v>0.49555109167407596</v>
      </c>
      <c r="M46" s="9">
        <f t="shared" si="21"/>
        <v>-46.293097749321987</v>
      </c>
      <c r="N46" s="9"/>
      <c r="O46" s="10">
        <v>42219</v>
      </c>
      <c r="P46" s="9">
        <v>5115.3798829999996</v>
      </c>
      <c r="Q46" s="11">
        <f t="shared" si="22"/>
        <v>-2.5154442699736814E-3</v>
      </c>
      <c r="R46" s="9">
        <f t="shared" si="4"/>
        <v>102.02457909022853</v>
      </c>
      <c r="S46" s="9">
        <f t="shared" si="5"/>
        <v>0.60939548009128885</v>
      </c>
      <c r="T46" s="9">
        <f t="shared" si="23"/>
        <v>-55.705261498975041</v>
      </c>
      <c r="U46" s="9"/>
      <c r="V46" s="10">
        <v>42408</v>
      </c>
      <c r="W46" s="9">
        <v>4283.75</v>
      </c>
      <c r="X46" s="11">
        <f t="shared" si="24"/>
        <v>-1.819564224553815E-2</v>
      </c>
      <c r="Y46" s="9">
        <f t="shared" si="6"/>
        <v>86.83036105043152</v>
      </c>
      <c r="Z46" s="9">
        <f t="shared" si="7"/>
        <v>0.11601510089238484</v>
      </c>
      <c r="AA46" s="9">
        <f t="shared" si="25"/>
        <v>-10.134071735085262</v>
      </c>
      <c r="AB46" s="9"/>
      <c r="AC46" s="10">
        <v>42594</v>
      </c>
      <c r="AD46" s="9">
        <v>5232.8901370000003</v>
      </c>
      <c r="AE46" s="11">
        <f t="shared" si="26"/>
        <v>8.5881628876218494E-4</v>
      </c>
      <c r="AF46" s="9">
        <f t="shared" si="8"/>
        <v>108.17992560153833</v>
      </c>
      <c r="AG46" s="9">
        <f t="shared" si="9"/>
        <v>0.85781805876230233</v>
      </c>
      <c r="AH46" s="9">
        <f t="shared" si="27"/>
        <v>-83.835864151826044</v>
      </c>
      <c r="AI46" s="9"/>
      <c r="AJ46" s="10">
        <v>42783</v>
      </c>
      <c r="AK46" s="9">
        <v>5838.580078</v>
      </c>
      <c r="AL46" s="11">
        <f t="shared" si="28"/>
        <v>4.0723273657479802E-3</v>
      </c>
      <c r="AM46" s="9">
        <f t="shared" si="10"/>
        <v>107.18064995173691</v>
      </c>
      <c r="AN46" s="9">
        <f t="shared" si="11"/>
        <v>0.90308772936186643</v>
      </c>
      <c r="AO46" s="9">
        <f t="shared" si="29"/>
        <v>-88.634249026382506</v>
      </c>
      <c r="AP46" s="9"/>
      <c r="AQ46" s="10">
        <v>42971</v>
      </c>
      <c r="AR46" s="9">
        <v>6271.330078</v>
      </c>
      <c r="AS46" s="11">
        <f t="shared" si="30"/>
        <v>-1.1276864403695957E-3</v>
      </c>
      <c r="AT46" s="9">
        <f t="shared" si="12"/>
        <v>102.13194142522684</v>
      </c>
      <c r="AU46" s="9">
        <f t="shared" si="13"/>
        <v>0.68564361118565698</v>
      </c>
      <c r="AV46" s="9">
        <f t="shared" si="31"/>
        <v>-66.26097900681053</v>
      </c>
      <c r="AW46" s="9"/>
      <c r="AX46" s="10">
        <v>43161</v>
      </c>
      <c r="AY46" s="9">
        <v>7257.8701170000004</v>
      </c>
      <c r="AZ46" s="11">
        <f t="shared" si="32"/>
        <v>1.0766577727192856E-2</v>
      </c>
      <c r="BA46" s="9">
        <f t="shared" si="14"/>
        <v>101.69983937635352</v>
      </c>
      <c r="BB46" s="9">
        <f t="shared" si="15"/>
        <v>0.60078359583943797</v>
      </c>
      <c r="BC46" s="9">
        <f t="shared" si="33"/>
        <v>-55.650338084875116</v>
      </c>
      <c r="BD46" s="9"/>
      <c r="BE46" s="10">
        <v>43349</v>
      </c>
      <c r="BF46" s="9">
        <v>7922.7299800000001</v>
      </c>
      <c r="BG46" s="11">
        <f t="shared" si="34"/>
        <v>-9.06046309293187E-3</v>
      </c>
      <c r="BH46" s="9">
        <f t="shared" si="16"/>
        <v>101.23626689880696</v>
      </c>
      <c r="BI46" s="9">
        <f t="shared" si="17"/>
        <v>0.57733938341556557</v>
      </c>
      <c r="BJ46" s="9">
        <f t="shared" si="35"/>
        <v>-50.874904269074108</v>
      </c>
    </row>
    <row r="47" spans="1:62" x14ac:dyDescent="0.3">
      <c r="A47" s="10">
        <v>41843</v>
      </c>
      <c r="B47" s="9">
        <v>4473.7001950000003</v>
      </c>
      <c r="C47" s="11">
        <f t="shared" si="18"/>
        <v>3.9677054682533538E-3</v>
      </c>
      <c r="D47" s="9">
        <f t="shared" si="0"/>
        <v>105.88438828164621</v>
      </c>
      <c r="E47" s="9">
        <f t="shared" si="1"/>
        <v>0.81113127971099985</v>
      </c>
      <c r="F47" s="9">
        <f t="shared" si="19"/>
        <v>-78.447620708895869</v>
      </c>
      <c r="G47" s="9"/>
      <c r="H47" s="10">
        <v>42032</v>
      </c>
      <c r="I47" s="9">
        <v>4637.9902339999999</v>
      </c>
      <c r="J47" s="11">
        <f t="shared" si="20"/>
        <v>-9.29397970735878E-3</v>
      </c>
      <c r="K47" s="9">
        <f t="shared" si="2"/>
        <v>98.109726122509826</v>
      </c>
      <c r="L47" s="9">
        <f t="shared" si="3"/>
        <v>0.4500069772668962</v>
      </c>
      <c r="M47" s="9">
        <f t="shared" si="21"/>
        <v>-41.826679653505309</v>
      </c>
      <c r="N47" s="9"/>
      <c r="O47" s="10">
        <v>42220</v>
      </c>
      <c r="P47" s="9">
        <v>5105.5498049999997</v>
      </c>
      <c r="Q47" s="11">
        <f t="shared" si="22"/>
        <v>-1.9216711612500897E-3</v>
      </c>
      <c r="R47" s="9">
        <f t="shared" si="4"/>
        <v>101.82852139885216</v>
      </c>
      <c r="S47" s="9">
        <f t="shared" si="5"/>
        <v>0.6030478268095204</v>
      </c>
      <c r="T47" s="9">
        <f t="shared" si="23"/>
        <v>-55.061178655302037</v>
      </c>
      <c r="U47" s="9"/>
      <c r="V47" s="10">
        <v>42409</v>
      </c>
      <c r="W47" s="9">
        <v>4268.7597660000001</v>
      </c>
      <c r="X47" s="11">
        <f t="shared" si="24"/>
        <v>-3.4993251240151438E-3</v>
      </c>
      <c r="Y47" s="9">
        <f t="shared" si="6"/>
        <v>86.526513386480431</v>
      </c>
      <c r="Z47" s="9">
        <f t="shared" si="7"/>
        <v>0.10880091724281354</v>
      </c>
      <c r="AA47" s="9">
        <f t="shared" si="25"/>
        <v>-9.5102700542172389</v>
      </c>
      <c r="AB47" s="9"/>
      <c r="AC47" s="10">
        <v>42597</v>
      </c>
      <c r="AD47" s="9">
        <v>5262.0200199999999</v>
      </c>
      <c r="AE47" s="11">
        <f t="shared" si="26"/>
        <v>5.5666911089976906E-3</v>
      </c>
      <c r="AF47" s="9">
        <f t="shared" si="8"/>
        <v>108.78212983155645</v>
      </c>
      <c r="AG47" s="9">
        <f t="shared" si="9"/>
        <v>0.87480578760437688</v>
      </c>
      <c r="AH47" s="9">
        <f t="shared" si="27"/>
        <v>-85.694162041897414</v>
      </c>
      <c r="AI47" s="9"/>
      <c r="AJ47" s="10">
        <v>42787</v>
      </c>
      <c r="AK47" s="9">
        <v>5865.9501950000003</v>
      </c>
      <c r="AL47" s="11">
        <f t="shared" si="28"/>
        <v>4.6878036499203067E-3</v>
      </c>
      <c r="AM47" s="9">
        <f t="shared" si="10"/>
        <v>107.6830917937815</v>
      </c>
      <c r="AN47" s="9">
        <f t="shared" si="11"/>
        <v>0.91870550516450589</v>
      </c>
      <c r="AO47" s="9">
        <f t="shared" si="29"/>
        <v>-90.330590622892387</v>
      </c>
      <c r="AP47" s="9"/>
      <c r="AQ47" s="10">
        <v>42972</v>
      </c>
      <c r="AR47" s="9">
        <v>6265.6401370000003</v>
      </c>
      <c r="AS47" s="11">
        <f t="shared" si="30"/>
        <v>-9.0729413525212233E-4</v>
      </c>
      <c r="AT47" s="9">
        <f t="shared" si="12"/>
        <v>102.03927771374983</v>
      </c>
      <c r="AU47" s="9">
        <f t="shared" si="13"/>
        <v>0.68041409075397352</v>
      </c>
      <c r="AV47" s="9">
        <f t="shared" si="31"/>
        <v>-65.730085629057953</v>
      </c>
      <c r="AW47" s="9"/>
      <c r="AX47" s="10">
        <v>43164</v>
      </c>
      <c r="AY47" s="9">
        <v>7330.7099609999996</v>
      </c>
      <c r="AZ47" s="11">
        <f t="shared" si="32"/>
        <v>1.0035980642501097E-2</v>
      </c>
      <c r="BA47" s="9">
        <f t="shared" si="14"/>
        <v>102.72049699568007</v>
      </c>
      <c r="BB47" s="9">
        <f t="shared" si="15"/>
        <v>0.63547885214280275</v>
      </c>
      <c r="BC47" s="9">
        <f t="shared" si="33"/>
        <v>-59.221113479290835</v>
      </c>
      <c r="BD47" s="9"/>
      <c r="BE47" s="10">
        <v>43350</v>
      </c>
      <c r="BF47" s="9">
        <v>7902.5400390000004</v>
      </c>
      <c r="BG47" s="11">
        <f t="shared" si="34"/>
        <v>-2.5483565703951498E-3</v>
      </c>
      <c r="BH47" s="9">
        <f t="shared" si="16"/>
        <v>100.9782807928931</v>
      </c>
      <c r="BI47" s="9">
        <f t="shared" si="17"/>
        <v>0.57035510068963158</v>
      </c>
      <c r="BJ47" s="9">
        <f t="shared" si="35"/>
        <v>-50.171734199289489</v>
      </c>
    </row>
    <row r="48" spans="1:62" x14ac:dyDescent="0.3">
      <c r="A48" s="10">
        <v>41844</v>
      </c>
      <c r="B48" s="9">
        <v>4472.1098629999997</v>
      </c>
      <c r="C48" s="11">
        <f t="shared" si="18"/>
        <v>-3.5548470632388262E-4</v>
      </c>
      <c r="D48" s="9">
        <f t="shared" si="0"/>
        <v>105.84674800097362</v>
      </c>
      <c r="E48" s="9">
        <f t="shared" si="1"/>
        <v>0.81053217655379595</v>
      </c>
      <c r="F48" s="9">
        <f t="shared" si="19"/>
        <v>-78.387431529057281</v>
      </c>
      <c r="G48" s="9"/>
      <c r="H48" s="10">
        <v>42033</v>
      </c>
      <c r="I48" s="9">
        <v>4683.4101559999999</v>
      </c>
      <c r="J48" s="11">
        <f t="shared" si="20"/>
        <v>9.7930180333363863E-3</v>
      </c>
      <c r="K48" s="9">
        <f t="shared" si="2"/>
        <v>99.070516439673256</v>
      </c>
      <c r="L48" s="9">
        <f t="shared" si="3"/>
        <v>0.49685334104415213</v>
      </c>
      <c r="M48" s="9">
        <f t="shared" si="21"/>
        <v>-46.469492046202589</v>
      </c>
      <c r="N48" s="9"/>
      <c r="O48" s="10">
        <v>42221</v>
      </c>
      <c r="P48" s="9">
        <v>5139.9399409999996</v>
      </c>
      <c r="Q48" s="11">
        <f t="shared" si="22"/>
        <v>6.7358340068136863E-3</v>
      </c>
      <c r="R48" s="9">
        <f t="shared" si="4"/>
        <v>102.51442141615412</v>
      </c>
      <c r="S48" s="9">
        <f t="shared" si="5"/>
        <v>0.62560750766605533</v>
      </c>
      <c r="T48" s="9">
        <f t="shared" si="23"/>
        <v>-57.376134120302993</v>
      </c>
      <c r="U48" s="9"/>
      <c r="V48" s="10">
        <v>42410</v>
      </c>
      <c r="W48" s="9">
        <v>4283.5898440000001</v>
      </c>
      <c r="X48" s="11">
        <f t="shared" si="24"/>
        <v>3.4740952438034101E-3</v>
      </c>
      <c r="Y48" s="9">
        <f t="shared" si="6"/>
        <v>86.8271147350993</v>
      </c>
      <c r="Z48" s="9">
        <f t="shared" si="7"/>
        <v>0.11383211842507232</v>
      </c>
      <c r="AA48" s="9">
        <f t="shared" si="25"/>
        <v>-9.9475055775714409</v>
      </c>
      <c r="AB48" s="9"/>
      <c r="AC48" s="10">
        <v>42598</v>
      </c>
      <c r="AD48" s="9">
        <v>5227.1098629999997</v>
      </c>
      <c r="AE48" s="11">
        <f t="shared" si="26"/>
        <v>-6.6343641543196285E-3</v>
      </c>
      <c r="AF48" s="9">
        <f t="shared" si="8"/>
        <v>108.06042956877143</v>
      </c>
      <c r="AG48" s="9">
        <f t="shared" si="9"/>
        <v>0.85774108970720198</v>
      </c>
      <c r="AH48" s="9">
        <f t="shared" si="27"/>
        <v>-83.853665206923736</v>
      </c>
      <c r="AI48" s="9"/>
      <c r="AJ48" s="10">
        <v>42788</v>
      </c>
      <c r="AK48" s="9">
        <v>5860.6298829999996</v>
      </c>
      <c r="AL48" s="11">
        <f t="shared" si="28"/>
        <v>-9.0698212960206354E-4</v>
      </c>
      <c r="AM48" s="9">
        <f t="shared" si="10"/>
        <v>107.58542515386425</v>
      </c>
      <c r="AN48" s="9">
        <f t="shared" si="11"/>
        <v>0.91701245595953196</v>
      </c>
      <c r="AO48" s="9">
        <f t="shared" si="29"/>
        <v>-90.152155496701297</v>
      </c>
      <c r="AP48" s="9"/>
      <c r="AQ48" s="10">
        <v>42975</v>
      </c>
      <c r="AR48" s="9">
        <v>6283.0200199999999</v>
      </c>
      <c r="AS48" s="11">
        <f t="shared" si="30"/>
        <v>2.7738399620762656E-3</v>
      </c>
      <c r="AT48" s="9">
        <f t="shared" si="12"/>
        <v>102.32231833997363</v>
      </c>
      <c r="AU48" s="9">
        <f t="shared" si="13"/>
        <v>0.69831990772145847</v>
      </c>
      <c r="AV48" s="9">
        <f t="shared" si="31"/>
        <v>-67.570354541693661</v>
      </c>
      <c r="AW48" s="9"/>
      <c r="AX48" s="10">
        <v>43165</v>
      </c>
      <c r="AY48" s="9">
        <v>7372.0097660000001</v>
      </c>
      <c r="AZ48" s="11">
        <f t="shared" si="32"/>
        <v>5.6338069872794092E-3</v>
      </c>
      <c r="BA48" s="9">
        <f t="shared" si="14"/>
        <v>103.29920444939115</v>
      </c>
      <c r="BB48" s="9">
        <f t="shared" si="15"/>
        <v>0.6547011291915712</v>
      </c>
      <c r="BC48" s="9">
        <f t="shared" si="33"/>
        <v>-61.209193200533093</v>
      </c>
      <c r="BD48" s="9"/>
      <c r="BE48" s="10">
        <v>43353</v>
      </c>
      <c r="BF48" s="9">
        <v>7924.1601559999999</v>
      </c>
      <c r="BG48" s="11">
        <f t="shared" si="34"/>
        <v>2.7358440315773868E-3</v>
      </c>
      <c r="BH48" s="9">
        <f t="shared" si="16"/>
        <v>101.25454161971929</v>
      </c>
      <c r="BI48" s="9">
        <f t="shared" si="17"/>
        <v>0.57769469452785693</v>
      </c>
      <c r="BJ48" s="9">
        <f t="shared" si="35"/>
        <v>-50.921087346642146</v>
      </c>
    </row>
    <row r="49" spans="1:62" x14ac:dyDescent="0.3">
      <c r="A49" s="10">
        <v>41845</v>
      </c>
      <c r="B49" s="9">
        <v>4449.5600590000004</v>
      </c>
      <c r="C49" s="11">
        <f t="shared" si="18"/>
        <v>-5.0423188809749766E-3</v>
      </c>
      <c r="D49" s="9">
        <f t="shared" si="0"/>
        <v>105.31303494503852</v>
      </c>
      <c r="E49" s="9">
        <f t="shared" si="1"/>
        <v>0.79204227819340889</v>
      </c>
      <c r="F49" s="9">
        <f t="shared" si="19"/>
        <v>-76.443425684389425</v>
      </c>
      <c r="G49" s="9"/>
      <c r="H49" s="10">
        <v>42034</v>
      </c>
      <c r="I49" s="9">
        <v>4635.2402339999999</v>
      </c>
      <c r="J49" s="11">
        <f t="shared" si="20"/>
        <v>-1.0285223885054932E-2</v>
      </c>
      <c r="K49" s="9">
        <f t="shared" si="2"/>
        <v>98.0515539976832</v>
      </c>
      <c r="L49" s="9">
        <f t="shared" si="3"/>
        <v>0.44609729505787815</v>
      </c>
      <c r="M49" s="9">
        <f t="shared" si="21"/>
        <v>-41.494692606864191</v>
      </c>
      <c r="N49" s="9"/>
      <c r="O49" s="10">
        <v>42222</v>
      </c>
      <c r="P49" s="9">
        <v>5056.4399409999996</v>
      </c>
      <c r="Q49" s="11">
        <f t="shared" si="22"/>
        <v>-1.6245326007399745E-2</v>
      </c>
      <c r="R49" s="9">
        <f t="shared" si="4"/>
        <v>100.84904121978873</v>
      </c>
      <c r="S49" s="9">
        <f t="shared" si="5"/>
        <v>0.57013516446401191</v>
      </c>
      <c r="T49" s="9">
        <f t="shared" si="23"/>
        <v>-51.784159465932994</v>
      </c>
      <c r="U49" s="9"/>
      <c r="V49" s="10">
        <v>42411</v>
      </c>
      <c r="W49" s="9">
        <v>4266.8398440000001</v>
      </c>
      <c r="X49" s="11">
        <f t="shared" si="24"/>
        <v>-3.91027166699016E-3</v>
      </c>
      <c r="Y49" s="9">
        <f t="shared" si="6"/>
        <v>86.487597128424127</v>
      </c>
      <c r="Z49" s="9">
        <f t="shared" si="7"/>
        <v>0.10594285747075366</v>
      </c>
      <c r="AA49" s="9">
        <f t="shared" si="25"/>
        <v>-9.2655911645125464</v>
      </c>
      <c r="AB49" s="9"/>
      <c r="AC49" s="10">
        <v>42599</v>
      </c>
      <c r="AD49" s="9">
        <v>5228.6601559999999</v>
      </c>
      <c r="AE49" s="11">
        <f t="shared" si="26"/>
        <v>2.9658703196080847E-4</v>
      </c>
      <c r="AF49" s="9">
        <f t="shared" si="8"/>
        <v>108.09247889084963</v>
      </c>
      <c r="AG49" s="9">
        <f t="shared" si="9"/>
        <v>0.85933564703838039</v>
      </c>
      <c r="AH49" s="9">
        <f t="shared" si="27"/>
        <v>-84.029470973430307</v>
      </c>
      <c r="AI49" s="9"/>
      <c r="AJ49" s="10">
        <v>42789</v>
      </c>
      <c r="AK49" s="9">
        <v>5835.5097660000001</v>
      </c>
      <c r="AL49" s="11">
        <f t="shared" si="28"/>
        <v>-4.286248662940772E-3</v>
      </c>
      <c r="AM49" s="9">
        <f t="shared" si="10"/>
        <v>107.12428726914658</v>
      </c>
      <c r="AN49" s="9">
        <f t="shared" si="11"/>
        <v>0.90576605215463901</v>
      </c>
      <c r="AO49" s="9">
        <f t="shared" si="29"/>
        <v>-88.951097463992497</v>
      </c>
      <c r="AP49" s="9"/>
      <c r="AQ49" s="10">
        <v>42976</v>
      </c>
      <c r="AR49" s="9">
        <v>6301.8901370000003</v>
      </c>
      <c r="AS49" s="11">
        <f t="shared" si="30"/>
        <v>3.0033514042504023E-3</v>
      </c>
      <c r="AT49" s="9">
        <f t="shared" si="12"/>
        <v>102.62962821844614</v>
      </c>
      <c r="AU49" s="9">
        <f t="shared" si="13"/>
        <v>0.71665896727521305</v>
      </c>
      <c r="AV49" s="9">
        <f t="shared" si="31"/>
        <v>-69.455262326516333</v>
      </c>
      <c r="AW49" s="9"/>
      <c r="AX49" s="10">
        <v>43166</v>
      </c>
      <c r="AY49" s="9">
        <v>7396.6499020000001</v>
      </c>
      <c r="AZ49" s="11">
        <f t="shared" si="32"/>
        <v>3.3423905803328237E-3</v>
      </c>
      <c r="BA49" s="9">
        <f t="shared" si="14"/>
        <v>103.64447073729868</v>
      </c>
      <c r="BB49" s="9">
        <f t="shared" si="15"/>
        <v>0.6661366350001624</v>
      </c>
      <c r="BC49" s="9">
        <f t="shared" si="33"/>
        <v>-62.396935645661699</v>
      </c>
      <c r="BD49" s="9"/>
      <c r="BE49" s="10">
        <v>43354</v>
      </c>
      <c r="BF49" s="9">
        <v>7972.4702150000003</v>
      </c>
      <c r="BG49" s="11">
        <f t="shared" si="34"/>
        <v>6.0965525745237557E-3</v>
      </c>
      <c r="BH49" s="9">
        <f t="shared" si="16"/>
        <v>101.87184525611322</v>
      </c>
      <c r="BI49" s="9">
        <f t="shared" si="17"/>
        <v>0.59436356671050583</v>
      </c>
      <c r="BJ49" s="9">
        <f t="shared" si="35"/>
        <v>-52.621268804652274</v>
      </c>
    </row>
    <row r="50" spans="1:62" x14ac:dyDescent="0.3">
      <c r="A50" s="10">
        <v>41848</v>
      </c>
      <c r="B50" s="9">
        <v>4444.9101559999999</v>
      </c>
      <c r="C50" s="11">
        <f t="shared" si="18"/>
        <v>-1.0450253369645435E-3</v>
      </c>
      <c r="D50" s="9">
        <f t="shared" si="0"/>
        <v>105.20298015520831</v>
      </c>
      <c r="E50" s="9">
        <f t="shared" si="1"/>
        <v>0.78998421572968525</v>
      </c>
      <c r="F50" s="9">
        <f t="shared" si="19"/>
        <v>-76.236336492782002</v>
      </c>
      <c r="G50" s="9"/>
      <c r="H50" s="10">
        <v>42037</v>
      </c>
      <c r="I50" s="9">
        <v>4676.6899409999996</v>
      </c>
      <c r="J50" s="11">
        <f t="shared" si="20"/>
        <v>8.9422996236444389E-3</v>
      </c>
      <c r="K50" s="9">
        <f t="shared" si="2"/>
        <v>98.928360372094431</v>
      </c>
      <c r="L50" s="9">
        <f t="shared" si="3"/>
        <v>0.48837278903942705</v>
      </c>
      <c r="M50" s="9">
        <f t="shared" si="21"/>
        <v>-45.682054009768706</v>
      </c>
      <c r="N50" s="9"/>
      <c r="O50" s="10">
        <v>42223</v>
      </c>
      <c r="P50" s="9">
        <v>5043.5400390000004</v>
      </c>
      <c r="Q50" s="11">
        <f t="shared" si="22"/>
        <v>-2.5511826800118228E-3</v>
      </c>
      <c r="R50" s="9">
        <f t="shared" si="4"/>
        <v>100.59175689253301</v>
      </c>
      <c r="S50" s="9">
        <f t="shared" si="5"/>
        <v>0.56121999257708344</v>
      </c>
      <c r="T50" s="9">
        <f t="shared" si="23"/>
        <v>-50.889494822699383</v>
      </c>
      <c r="U50" s="9"/>
      <c r="V50" s="10">
        <v>42412</v>
      </c>
      <c r="W50" s="9">
        <v>4337.5097660000001</v>
      </c>
      <c r="X50" s="11">
        <f t="shared" si="24"/>
        <v>1.6562590719071769E-2</v>
      </c>
      <c r="Y50" s="9">
        <f t="shared" si="6"/>
        <v>87.92005580193819</v>
      </c>
      <c r="Z50" s="9">
        <f t="shared" si="7"/>
        <v>0.13551283976075368</v>
      </c>
      <c r="AA50" s="9">
        <f t="shared" si="25"/>
        <v>-11.865766443055067</v>
      </c>
      <c r="AB50" s="9"/>
      <c r="AC50" s="10">
        <v>42600</v>
      </c>
      <c r="AD50" s="9">
        <v>5240.1499020000001</v>
      </c>
      <c r="AE50" s="11">
        <f t="shared" si="26"/>
        <v>2.1974551141587324E-3</v>
      </c>
      <c r="AF50" s="9">
        <f t="shared" si="8"/>
        <v>108.33000726139042</v>
      </c>
      <c r="AG50" s="9">
        <f t="shared" si="9"/>
        <v>0.86614476028678067</v>
      </c>
      <c r="AH50" s="9">
        <f t="shared" si="27"/>
        <v>-84.77055559796203</v>
      </c>
      <c r="AI50" s="9"/>
      <c r="AJ50" s="10">
        <v>42790</v>
      </c>
      <c r="AK50" s="9">
        <v>5845.3100590000004</v>
      </c>
      <c r="AL50" s="11">
        <f t="shared" si="28"/>
        <v>1.6794236310083211E-3</v>
      </c>
      <c r="AM50" s="9">
        <f t="shared" si="10"/>
        <v>107.30419432864129</v>
      </c>
      <c r="AN50" s="9">
        <f t="shared" si="11"/>
        <v>0.91128579679025068</v>
      </c>
      <c r="AO50" s="9">
        <f t="shared" si="29"/>
        <v>-89.547044814684497</v>
      </c>
      <c r="AP50" s="9"/>
      <c r="AQ50" s="10">
        <v>42977</v>
      </c>
      <c r="AR50" s="9">
        <v>6368.3100590000004</v>
      </c>
      <c r="AS50" s="11">
        <f t="shared" si="30"/>
        <v>1.0539682627920119E-2</v>
      </c>
      <c r="AT50" s="9">
        <f t="shared" si="12"/>
        <v>103.71131192809</v>
      </c>
      <c r="AU50" s="9">
        <f t="shared" si="13"/>
        <v>0.77570529997800874</v>
      </c>
      <c r="AV50" s="9">
        <f t="shared" si="31"/>
        <v>-75.581889340166128</v>
      </c>
      <c r="AW50" s="9"/>
      <c r="AX50" s="10">
        <v>43167</v>
      </c>
      <c r="AY50" s="9">
        <v>7427.9501950000003</v>
      </c>
      <c r="AZ50" s="11">
        <f t="shared" si="32"/>
        <v>4.2316850756363182E-3</v>
      </c>
      <c r="BA50" s="9">
        <f t="shared" si="14"/>
        <v>104.08306149728992</v>
      </c>
      <c r="BB50" s="9">
        <f t="shared" si="15"/>
        <v>0.68041910872160527</v>
      </c>
      <c r="BC50" s="9">
        <f t="shared" si="33"/>
        <v>-63.886063546664282</v>
      </c>
      <c r="BD50" s="9"/>
      <c r="BE50" s="10">
        <v>43355</v>
      </c>
      <c r="BF50" s="9">
        <v>7954.2299800000001</v>
      </c>
      <c r="BG50" s="11">
        <f t="shared" si="34"/>
        <v>-2.28790255819102E-3</v>
      </c>
      <c r="BH50" s="9">
        <f t="shared" si="16"/>
        <v>101.63877240074413</v>
      </c>
      <c r="BI50" s="9">
        <f t="shared" si="17"/>
        <v>0.58809933733088415</v>
      </c>
      <c r="BJ50" s="9">
        <f t="shared" si="35"/>
        <v>-51.986742782802835</v>
      </c>
    </row>
    <row r="51" spans="1:62" x14ac:dyDescent="0.3">
      <c r="A51" s="10">
        <v>41849</v>
      </c>
      <c r="B51" s="9">
        <v>4442.7001950000003</v>
      </c>
      <c r="C51" s="11">
        <f t="shared" si="18"/>
        <v>-4.9718912698751218E-4</v>
      </c>
      <c r="D51" s="9">
        <f t="shared" si="0"/>
        <v>105.15067437734847</v>
      </c>
      <c r="E51" s="9">
        <f t="shared" si="1"/>
        <v>0.78869580823010099</v>
      </c>
      <c r="F51" s="9">
        <f t="shared" si="19"/>
        <v>-76.103992639835312</v>
      </c>
      <c r="G51" s="9"/>
      <c r="H51" s="10">
        <v>42038</v>
      </c>
      <c r="I51" s="9">
        <v>4727.7402339999999</v>
      </c>
      <c r="J51" s="11">
        <f t="shared" si="20"/>
        <v>1.0915902838126648E-2</v>
      </c>
      <c r="K51" s="9">
        <f t="shared" si="2"/>
        <v>100.00825274185141</v>
      </c>
      <c r="L51" s="9">
        <f t="shared" si="3"/>
        <v>0.541875803369543</v>
      </c>
      <c r="M51" s="9">
        <f t="shared" si="21"/>
        <v>-51.03467437260727</v>
      </c>
      <c r="N51" s="9"/>
      <c r="O51" s="10">
        <v>42226</v>
      </c>
      <c r="P51" s="9">
        <v>5101.7998049999997</v>
      </c>
      <c r="Q51" s="11">
        <f t="shared" si="22"/>
        <v>1.1551363833635904E-2</v>
      </c>
      <c r="R51" s="9">
        <f t="shared" si="4"/>
        <v>101.7537288750633</v>
      </c>
      <c r="S51" s="9">
        <f t="shared" si="5"/>
        <v>0.60105219012144806</v>
      </c>
      <c r="T51" s="9">
        <f t="shared" si="23"/>
        <v>-54.948843886205779</v>
      </c>
      <c r="U51" s="9"/>
      <c r="V51" s="10">
        <v>42416</v>
      </c>
      <c r="W51" s="9">
        <v>4435.9599609999996</v>
      </c>
      <c r="X51" s="11">
        <f t="shared" si="24"/>
        <v>2.2697400193011908E-2</v>
      </c>
      <c r="Y51" s="9">
        <f t="shared" si="6"/>
        <v>89.91561249346671</v>
      </c>
      <c r="Z51" s="9">
        <f t="shared" si="7"/>
        <v>0.18171957628733632</v>
      </c>
      <c r="AA51" s="9">
        <f t="shared" si="25"/>
        <v>-16.022424156443417</v>
      </c>
      <c r="AB51" s="9"/>
      <c r="AC51" s="10">
        <v>42601</v>
      </c>
      <c r="AD51" s="9">
        <v>5238.3798829999996</v>
      </c>
      <c r="AE51" s="11">
        <f t="shared" si="26"/>
        <v>-3.3778022253236339E-4</v>
      </c>
      <c r="AF51" s="9">
        <f t="shared" si="8"/>
        <v>108.29341552743072</v>
      </c>
      <c r="AG51" s="9">
        <f t="shared" si="9"/>
        <v>0.86600784015735432</v>
      </c>
      <c r="AH51" s="9">
        <f t="shared" si="27"/>
        <v>-84.759211842539216</v>
      </c>
      <c r="AI51" s="9"/>
      <c r="AJ51" s="10">
        <v>42793</v>
      </c>
      <c r="AK51" s="9">
        <v>5861.8999020000001</v>
      </c>
      <c r="AL51" s="11">
        <f t="shared" si="28"/>
        <v>2.8381459379483954E-3</v>
      </c>
      <c r="AM51" s="9">
        <f t="shared" si="10"/>
        <v>107.60873929189995</v>
      </c>
      <c r="AN51" s="9">
        <f t="shared" si="11"/>
        <v>0.92108276725263671</v>
      </c>
      <c r="AO51" s="9">
        <f t="shared" si="29"/>
        <v>-90.612325182221625</v>
      </c>
      <c r="AP51" s="9"/>
      <c r="AQ51" s="10">
        <v>42978</v>
      </c>
      <c r="AR51" s="9">
        <v>6428.6601559999999</v>
      </c>
      <c r="AS51" s="11">
        <f t="shared" si="30"/>
        <v>9.4766266781734203E-3</v>
      </c>
      <c r="AT51" s="9">
        <f t="shared" si="12"/>
        <v>104.6941453135361</v>
      </c>
      <c r="AU51" s="9">
        <f t="shared" si="13"/>
        <v>0.82266519968066554</v>
      </c>
      <c r="AV51" s="9">
        <f t="shared" si="31"/>
        <v>-80.501422072411486</v>
      </c>
      <c r="AW51" s="9"/>
      <c r="AX51" s="10">
        <v>43168</v>
      </c>
      <c r="AY51" s="9">
        <v>7560.8100590000004</v>
      </c>
      <c r="AZ51" s="11">
        <f t="shared" si="32"/>
        <v>1.7886477495424297E-2</v>
      </c>
      <c r="BA51" s="9">
        <f t="shared" si="14"/>
        <v>105.94474083441605</v>
      </c>
      <c r="BB51" s="9">
        <f t="shared" si="15"/>
        <v>0.73666498742092268</v>
      </c>
      <c r="BC51" s="9">
        <f t="shared" si="33"/>
        <v>-69.847644097082195</v>
      </c>
      <c r="BD51" s="9"/>
      <c r="BE51" s="10">
        <v>43356</v>
      </c>
      <c r="BF51" s="9">
        <v>8013.7099609999996</v>
      </c>
      <c r="BG51" s="11">
        <f t="shared" si="34"/>
        <v>7.477779891900925E-3</v>
      </c>
      <c r="BH51" s="9">
        <f t="shared" si="16"/>
        <v>102.3988047692399</v>
      </c>
      <c r="BI51" s="9">
        <f t="shared" si="17"/>
        <v>0.60858958403949126</v>
      </c>
      <c r="BJ51" s="9">
        <f t="shared" si="35"/>
        <v>-54.087056040575362</v>
      </c>
    </row>
    <row r="52" spans="1:62" x14ac:dyDescent="0.3">
      <c r="A52" s="10">
        <v>41850</v>
      </c>
      <c r="B52" s="9">
        <v>4462.8999020000001</v>
      </c>
      <c r="C52" s="11">
        <f t="shared" si="18"/>
        <v>4.5467184625092088E-3</v>
      </c>
      <c r="D52" s="9">
        <f t="shared" si="0"/>
        <v>105.62876488988525</v>
      </c>
      <c r="E52" s="9">
        <f t="shared" si="1"/>
        <v>0.80716490338836655</v>
      </c>
      <c r="F52" s="9">
        <f t="shared" si="19"/>
        <v>-78.057987975643854</v>
      </c>
      <c r="G52" s="9"/>
      <c r="H52" s="10">
        <v>42039</v>
      </c>
      <c r="I52" s="9">
        <v>4716.7001950000003</v>
      </c>
      <c r="J52" s="11">
        <f t="shared" si="20"/>
        <v>-2.3351619280188069E-3</v>
      </c>
      <c r="K52" s="9">
        <f t="shared" si="2"/>
        <v>99.774717277560953</v>
      </c>
      <c r="L52" s="9">
        <f t="shared" si="3"/>
        <v>0.53009291390542268</v>
      </c>
      <c r="M52" s="9">
        <f t="shared" si="21"/>
        <v>-49.861137266093195</v>
      </c>
      <c r="N52" s="9"/>
      <c r="O52" s="10">
        <v>42227</v>
      </c>
      <c r="P52" s="9">
        <v>5036.7900390000004</v>
      </c>
      <c r="Q52" s="11">
        <f t="shared" si="22"/>
        <v>-1.2742516069777304E-2</v>
      </c>
      <c r="R52" s="9">
        <f t="shared" si="4"/>
        <v>100.45713034971304</v>
      </c>
      <c r="S52" s="9">
        <f t="shared" si="5"/>
        <v>0.55616698024885292</v>
      </c>
      <c r="T52" s="9">
        <f t="shared" si="23"/>
        <v>-50.442062725328235</v>
      </c>
      <c r="U52" s="9"/>
      <c r="V52" s="10">
        <v>42417</v>
      </c>
      <c r="W52" s="9">
        <v>4534.0600590000004</v>
      </c>
      <c r="X52" s="11">
        <f t="shared" si="24"/>
        <v>2.2114739281345108E-2</v>
      </c>
      <c r="Y52" s="9">
        <f t="shared" si="6"/>
        <v>91.904072821082195</v>
      </c>
      <c r="Z52" s="9">
        <f t="shared" si="7"/>
        <v>0.24043634080480192</v>
      </c>
      <c r="AA52" s="9">
        <f t="shared" si="25"/>
        <v>-21.41939242779226</v>
      </c>
      <c r="AB52" s="9"/>
      <c r="AC52" s="10">
        <v>42604</v>
      </c>
      <c r="AD52" s="9">
        <v>5244.6000979999999</v>
      </c>
      <c r="AE52" s="11">
        <f t="shared" si="26"/>
        <v>1.1874310643614468E-3</v>
      </c>
      <c r="AF52" s="9">
        <f t="shared" si="8"/>
        <v>108.42200649309382</v>
      </c>
      <c r="AG52" s="9">
        <f t="shared" si="9"/>
        <v>0.87159347434075574</v>
      </c>
      <c r="AH52" s="9">
        <f t="shared" si="27"/>
        <v>-85.375267918273735</v>
      </c>
      <c r="AI52" s="9"/>
      <c r="AJ52" s="10">
        <v>42794</v>
      </c>
      <c r="AK52" s="9">
        <v>5825.4399409999996</v>
      </c>
      <c r="AL52" s="11">
        <f t="shared" si="28"/>
        <v>-6.219819787021753E-3</v>
      </c>
      <c r="AM52" s="9">
        <f t="shared" si="10"/>
        <v>106.93943232599574</v>
      </c>
      <c r="AN52" s="9">
        <f t="shared" si="11"/>
        <v>0.9043213621557914</v>
      </c>
      <c r="AO52" s="9">
        <f t="shared" si="29"/>
        <v>-88.823593906881868</v>
      </c>
      <c r="AP52" s="9"/>
      <c r="AQ52" s="10">
        <v>42979</v>
      </c>
      <c r="AR52" s="9">
        <v>6435.330078</v>
      </c>
      <c r="AS52" s="11">
        <f t="shared" si="30"/>
        <v>1.0375291021994478E-3</v>
      </c>
      <c r="AT52" s="9">
        <f t="shared" si="12"/>
        <v>104.8027685361288</v>
      </c>
      <c r="AU52" s="9">
        <f t="shared" si="13"/>
        <v>0.82808087737271197</v>
      </c>
      <c r="AV52" s="9">
        <f t="shared" si="31"/>
        <v>-81.072308433635939</v>
      </c>
      <c r="AW52" s="9"/>
      <c r="AX52" s="10">
        <v>43171</v>
      </c>
      <c r="AY52" s="9">
        <v>7588.3198240000002</v>
      </c>
      <c r="AZ52" s="11">
        <f t="shared" si="32"/>
        <v>3.6384679399866122E-3</v>
      </c>
      <c r="BA52" s="9">
        <f t="shared" si="14"/>
        <v>106.33021737735227</v>
      </c>
      <c r="BB52" s="9">
        <f t="shared" si="15"/>
        <v>0.74927213102296319</v>
      </c>
      <c r="BC52" s="9">
        <f t="shared" si="33"/>
        <v>-71.196776301035172</v>
      </c>
      <c r="BD52" s="9"/>
      <c r="BE52" s="10">
        <v>43357</v>
      </c>
      <c r="BF52" s="9">
        <v>8010.0400390000004</v>
      </c>
      <c r="BG52" s="11">
        <f t="shared" si="34"/>
        <v>-4.5795543111235557E-4</v>
      </c>
      <c r="BH52" s="9">
        <f t="shared" si="16"/>
        <v>102.35191068045641</v>
      </c>
      <c r="BI52" s="9">
        <f t="shared" si="17"/>
        <v>0.60742831396534003</v>
      </c>
      <c r="BJ52" s="9">
        <f t="shared" si="35"/>
        <v>-53.970420631071327</v>
      </c>
    </row>
    <row r="53" spans="1:62" x14ac:dyDescent="0.3">
      <c r="A53" s="10">
        <v>41851</v>
      </c>
      <c r="B53" s="9">
        <v>4369.7700199999999</v>
      </c>
      <c r="C53" s="11">
        <f t="shared" si="18"/>
        <v>-2.0867571320222763E-2</v>
      </c>
      <c r="D53" s="9">
        <f t="shared" si="0"/>
        <v>103.42454910507853</v>
      </c>
      <c r="E53" s="9">
        <f t="shared" si="1"/>
        <v>0.71749842495084593</v>
      </c>
      <c r="F53" s="9">
        <f t="shared" si="19"/>
        <v>-68.78748080183847</v>
      </c>
      <c r="G53" s="9"/>
      <c r="H53" s="10">
        <v>42040</v>
      </c>
      <c r="I53" s="9">
        <v>4765.1000979999999</v>
      </c>
      <c r="J53" s="11">
        <f t="shared" si="20"/>
        <v>1.0261390590673219E-2</v>
      </c>
      <c r="K53" s="9">
        <f t="shared" si="2"/>
        <v>100.79854462261999</v>
      </c>
      <c r="L53" s="9">
        <f t="shared" si="3"/>
        <v>0.58050682202693549</v>
      </c>
      <c r="M53" s="9">
        <f t="shared" si="21"/>
        <v>-54.944834963418131</v>
      </c>
      <c r="N53" s="9"/>
      <c r="O53" s="10">
        <v>42228</v>
      </c>
      <c r="P53" s="9">
        <v>5044.3901370000003</v>
      </c>
      <c r="Q53" s="11">
        <f t="shared" si="22"/>
        <v>1.5089169771128291E-3</v>
      </c>
      <c r="R53" s="9">
        <f t="shared" si="4"/>
        <v>100.60871181916977</v>
      </c>
      <c r="S53" s="9">
        <f t="shared" si="5"/>
        <v>0.56142944014362017</v>
      </c>
      <c r="T53" s="9">
        <f t="shared" si="23"/>
        <v>-50.973585040418349</v>
      </c>
      <c r="U53" s="9"/>
      <c r="V53" s="10">
        <v>42418</v>
      </c>
      <c r="W53" s="9">
        <v>4487.5400390000004</v>
      </c>
      <c r="X53" s="11">
        <f t="shared" si="24"/>
        <v>-1.0260124346535466E-2</v>
      </c>
      <c r="Y53" s="9">
        <f t="shared" si="6"/>
        <v>90.961125605984833</v>
      </c>
      <c r="Z53" s="9">
        <f t="shared" si="7"/>
        <v>0.20972532497743959</v>
      </c>
      <c r="AA53" s="9">
        <f t="shared" si="25"/>
        <v>-18.626764126723604</v>
      </c>
      <c r="AB53" s="9"/>
      <c r="AC53" s="10">
        <v>42605</v>
      </c>
      <c r="AD53" s="9">
        <v>5260.080078</v>
      </c>
      <c r="AE53" s="11">
        <f t="shared" si="26"/>
        <v>2.9516034989785543E-3</v>
      </c>
      <c r="AF53" s="9">
        <f t="shared" si="8"/>
        <v>108.74202526682511</v>
      </c>
      <c r="AG53" s="9">
        <f t="shared" si="9"/>
        <v>0.88011582301525237</v>
      </c>
      <c r="AH53" s="9">
        <f t="shared" si="27"/>
        <v>-86.305514017917659</v>
      </c>
      <c r="AI53" s="9"/>
      <c r="AJ53" s="10">
        <v>42795</v>
      </c>
      <c r="AK53" s="9">
        <v>5904.0297849999997</v>
      </c>
      <c r="AL53" s="11">
        <f t="shared" si="28"/>
        <v>1.349079980155272E-2</v>
      </c>
      <c r="AM53" s="9">
        <f t="shared" si="10"/>
        <v>108.38213079839744</v>
      </c>
      <c r="AN53" s="9">
        <f t="shared" si="11"/>
        <v>0.93939900682240929</v>
      </c>
      <c r="AO53" s="9">
        <f t="shared" si="29"/>
        <v>-92.629034138926926</v>
      </c>
      <c r="AP53" s="9"/>
      <c r="AQ53" s="10">
        <v>42983</v>
      </c>
      <c r="AR53" s="9">
        <v>6375.5698240000002</v>
      </c>
      <c r="AS53" s="11">
        <f t="shared" si="30"/>
        <v>-9.2862764264878793E-3</v>
      </c>
      <c r="AT53" s="9">
        <f t="shared" si="12"/>
        <v>103.82954105724107</v>
      </c>
      <c r="AU53" s="9">
        <f t="shared" si="13"/>
        <v>0.78551510239174849</v>
      </c>
      <c r="AV53" s="9">
        <f t="shared" si="31"/>
        <v>-76.666051602853884</v>
      </c>
      <c r="AW53" s="9"/>
      <c r="AX53" s="10">
        <v>43172</v>
      </c>
      <c r="AY53" s="9">
        <v>7511.0097660000001</v>
      </c>
      <c r="AZ53" s="11">
        <f t="shared" si="32"/>
        <v>-1.01880336877061E-2</v>
      </c>
      <c r="BA53" s="9">
        <f t="shared" si="14"/>
        <v>105.24692154069071</v>
      </c>
      <c r="BB53" s="9">
        <f t="shared" si="15"/>
        <v>0.71848701818999672</v>
      </c>
      <c r="BC53" s="9">
        <f t="shared" si="33"/>
        <v>-67.959663901121061</v>
      </c>
      <c r="BD53" s="9"/>
      <c r="BE53" s="10">
        <v>43360</v>
      </c>
      <c r="BF53" s="9">
        <v>7895.7900390000004</v>
      </c>
      <c r="BG53" s="11">
        <f t="shared" si="34"/>
        <v>-1.4263349426935367E-2</v>
      </c>
      <c r="BH53" s="9">
        <f t="shared" si="16"/>
        <v>100.89202961390657</v>
      </c>
      <c r="BI53" s="9">
        <f t="shared" si="17"/>
        <v>0.56733205306302181</v>
      </c>
      <c r="BJ53" s="9">
        <f t="shared" si="35"/>
        <v>-49.931681786370781</v>
      </c>
    </row>
    <row r="54" spans="1:62" x14ac:dyDescent="0.3">
      <c r="A54" s="10">
        <v>41852</v>
      </c>
      <c r="B54" s="9">
        <v>4352.6401370000003</v>
      </c>
      <c r="C54" s="11">
        <f t="shared" si="18"/>
        <v>-3.9200879958436827E-3</v>
      </c>
      <c r="D54" s="9">
        <f t="shared" si="0"/>
        <v>103.01911577165616</v>
      </c>
      <c r="E54" s="9">
        <f t="shared" si="1"/>
        <v>0.69910351628040857</v>
      </c>
      <c r="F54" s="9">
        <f t="shared" si="19"/>
        <v>-66.895280516769745</v>
      </c>
      <c r="G54" s="9"/>
      <c r="H54" s="10">
        <v>42041</v>
      </c>
      <c r="I54" s="9">
        <v>4744.3999020000001</v>
      </c>
      <c r="J54" s="11">
        <f t="shared" si="20"/>
        <v>-4.3441261619431735E-3</v>
      </c>
      <c r="K54" s="9">
        <f t="shared" si="2"/>
        <v>100.36066302783908</v>
      </c>
      <c r="L54" s="9">
        <f t="shared" si="3"/>
        <v>0.55893747092809254</v>
      </c>
      <c r="M54" s="9">
        <f t="shared" si="21"/>
        <v>-52.78237863937234</v>
      </c>
      <c r="N54" s="9"/>
      <c r="O54" s="10">
        <v>42229</v>
      </c>
      <c r="P54" s="9">
        <v>5033.5600590000004</v>
      </c>
      <c r="Q54" s="11">
        <f t="shared" si="22"/>
        <v>-2.1469548757861979E-3</v>
      </c>
      <c r="R54" s="9">
        <f t="shared" si="4"/>
        <v>100.39270945478303</v>
      </c>
      <c r="S54" s="9">
        <f t="shared" si="5"/>
        <v>0.5536803106055227</v>
      </c>
      <c r="T54" s="9">
        <f t="shared" si="23"/>
        <v>-50.197723778081844</v>
      </c>
      <c r="U54" s="9"/>
      <c r="V54" s="10">
        <v>42419</v>
      </c>
      <c r="W54" s="9">
        <v>4504.4301759999998</v>
      </c>
      <c r="X54" s="11">
        <f t="shared" si="24"/>
        <v>3.763785248312391E-3</v>
      </c>
      <c r="Y54" s="9">
        <f t="shared" si="6"/>
        <v>91.303483748710534</v>
      </c>
      <c r="Z54" s="9">
        <f t="shared" si="7"/>
        <v>0.21902726167111863</v>
      </c>
      <c r="AA54" s="9">
        <f t="shared" si="25"/>
        <v>-19.47682885165305</v>
      </c>
      <c r="AB54" s="9"/>
      <c r="AC54" s="10">
        <v>42606</v>
      </c>
      <c r="AD54" s="9">
        <v>5217.6899409999996</v>
      </c>
      <c r="AE54" s="11">
        <f t="shared" si="26"/>
        <v>-8.0588387194512074E-3</v>
      </c>
      <c r="AF54" s="9">
        <f t="shared" si="8"/>
        <v>107.86569082317325</v>
      </c>
      <c r="AG54" s="9">
        <f t="shared" si="9"/>
        <v>0.85894113075161238</v>
      </c>
      <c r="AH54" s="9">
        <f t="shared" si="27"/>
        <v>-84.02503808375846</v>
      </c>
      <c r="AI54" s="9"/>
      <c r="AJ54" s="10">
        <v>42796</v>
      </c>
      <c r="AK54" s="9">
        <v>5861.2202150000003</v>
      </c>
      <c r="AL54" s="11">
        <f t="shared" si="28"/>
        <v>-7.2509068481942697E-3</v>
      </c>
      <c r="AM54" s="9">
        <f t="shared" si="10"/>
        <v>107.59626206396946</v>
      </c>
      <c r="AN54" s="9">
        <f t="shared" si="11"/>
        <v>0.92293593514157501</v>
      </c>
      <c r="AO54" s="9">
        <f t="shared" si="29"/>
        <v>-90.861475914834188</v>
      </c>
      <c r="AP54" s="9"/>
      <c r="AQ54" s="10">
        <v>42984</v>
      </c>
      <c r="AR54" s="9">
        <v>6393.3100590000004</v>
      </c>
      <c r="AS54" s="11">
        <f t="shared" si="30"/>
        <v>2.782533246396175E-3</v>
      </c>
      <c r="AT54" s="9">
        <f t="shared" si="12"/>
        <v>104.1184502071909</v>
      </c>
      <c r="AU54" s="9">
        <f t="shared" si="13"/>
        <v>0.80047199968536953</v>
      </c>
      <c r="AV54" s="9">
        <f t="shared" si="31"/>
        <v>-78.226491293369207</v>
      </c>
      <c r="AW54" s="9"/>
      <c r="AX54" s="10">
        <v>43173</v>
      </c>
      <c r="AY54" s="9">
        <v>7496.8100590000004</v>
      </c>
      <c r="AZ54" s="11">
        <f t="shared" si="32"/>
        <v>-1.8905190436946853E-3</v>
      </c>
      <c r="BA54" s="9">
        <f t="shared" si="14"/>
        <v>105.04795023122777</v>
      </c>
      <c r="BB54" s="9">
        <f t="shared" si="15"/>
        <v>0.71299395591566761</v>
      </c>
      <c r="BC54" s="9">
        <f t="shared" si="33"/>
        <v>-67.385421888998721</v>
      </c>
      <c r="BD54" s="9"/>
      <c r="BE54" s="10">
        <v>43361</v>
      </c>
      <c r="BF54" s="9">
        <v>7956.1098629999997</v>
      </c>
      <c r="BG54" s="11">
        <f t="shared" si="34"/>
        <v>7.6394918940421485E-3</v>
      </c>
      <c r="BH54" s="9">
        <f t="shared" si="16"/>
        <v>101.66279345631548</v>
      </c>
      <c r="BI54" s="9">
        <f t="shared" si="17"/>
        <v>0.58886236585688911</v>
      </c>
      <c r="BJ54" s="9">
        <f t="shared" si="35"/>
        <v>-52.122565558070995</v>
      </c>
    </row>
    <row r="55" spans="1:62" x14ac:dyDescent="0.3">
      <c r="A55" s="10">
        <v>41855</v>
      </c>
      <c r="B55" s="9">
        <v>4383.8901370000003</v>
      </c>
      <c r="C55" s="11">
        <f t="shared" si="18"/>
        <v>7.1795505753753054E-3</v>
      </c>
      <c r="D55" s="9">
        <f t="shared" si="0"/>
        <v>103.75874672356922</v>
      </c>
      <c r="E55" s="9">
        <f t="shared" si="1"/>
        <v>0.73486162097334851</v>
      </c>
      <c r="F55" s="9">
        <f t="shared" si="19"/>
        <v>-70.613744516690758</v>
      </c>
      <c r="G55" s="9"/>
      <c r="H55" s="10">
        <v>42044</v>
      </c>
      <c r="I55" s="9">
        <v>4726.0097660000001</v>
      </c>
      <c r="J55" s="11">
        <f t="shared" si="20"/>
        <v>-3.8761774681446287E-3</v>
      </c>
      <c r="K55" s="9">
        <f t="shared" si="2"/>
        <v>99.971647287122508</v>
      </c>
      <c r="L55" s="9">
        <f t="shared" si="3"/>
        <v>0.53902660198742924</v>
      </c>
      <c r="M55" s="9">
        <f t="shared" si="21"/>
        <v>-50.798364090159417</v>
      </c>
      <c r="N55" s="9"/>
      <c r="O55" s="10">
        <v>42230</v>
      </c>
      <c r="P55" s="9">
        <v>5048.2402339999999</v>
      </c>
      <c r="Q55" s="11">
        <f t="shared" si="22"/>
        <v>2.9164596881587554E-3</v>
      </c>
      <c r="R55" s="9">
        <f t="shared" si="4"/>
        <v>100.68550074489293</v>
      </c>
      <c r="S55" s="9">
        <f t="shared" si="5"/>
        <v>0.5640123185450937</v>
      </c>
      <c r="T55" s="9">
        <f t="shared" si="23"/>
        <v>-51.240070133722369</v>
      </c>
      <c r="U55" s="9"/>
      <c r="V55" s="10">
        <v>42422</v>
      </c>
      <c r="W55" s="9">
        <v>4570.6098629999997</v>
      </c>
      <c r="X55" s="11">
        <f t="shared" si="24"/>
        <v>1.4692132947827901E-2</v>
      </c>
      <c r="Y55" s="9">
        <f t="shared" si="6"/>
        <v>92.64492667054644</v>
      </c>
      <c r="Z55" s="9">
        <f t="shared" si="7"/>
        <v>0.25914586381594862</v>
      </c>
      <c r="AA55" s="9">
        <f t="shared" si="25"/>
        <v>-23.196015206386296</v>
      </c>
      <c r="AB55" s="9"/>
      <c r="AC55" s="10">
        <v>42607</v>
      </c>
      <c r="AD55" s="9">
        <v>5212.2001950000003</v>
      </c>
      <c r="AE55" s="11">
        <f t="shared" si="26"/>
        <v>-1.05214109348689E-3</v>
      </c>
      <c r="AF55" s="9">
        <f t="shared" si="8"/>
        <v>107.75220089728086</v>
      </c>
      <c r="AG55" s="9">
        <f t="shared" si="9"/>
        <v>0.85671293383767189</v>
      </c>
      <c r="AH55" s="9">
        <f t="shared" si="27"/>
        <v>-83.788398116960451</v>
      </c>
      <c r="AI55" s="9"/>
      <c r="AJ55" s="10">
        <v>42797</v>
      </c>
      <c r="AK55" s="9">
        <v>5870.75</v>
      </c>
      <c r="AL55" s="11">
        <f t="shared" si="28"/>
        <v>1.625904615494765E-3</v>
      </c>
      <c r="AM55" s="9">
        <f t="shared" si="10"/>
        <v>107.77120332306924</v>
      </c>
      <c r="AN55" s="9">
        <f t="shared" si="11"/>
        <v>0.92776359756675286</v>
      </c>
      <c r="AO55" s="9">
        <f t="shared" si="29"/>
        <v>-91.38549301361769</v>
      </c>
      <c r="AP55" s="9"/>
      <c r="AQ55" s="10">
        <v>42985</v>
      </c>
      <c r="AR55" s="9">
        <v>6397.8701170000004</v>
      </c>
      <c r="AS55" s="11">
        <f t="shared" si="30"/>
        <v>7.132546299050105E-4</v>
      </c>
      <c r="AT55" s="9">
        <f t="shared" si="12"/>
        <v>104.19271317385972</v>
      </c>
      <c r="AU55" s="9">
        <f t="shared" si="13"/>
        <v>0.80476395716282656</v>
      </c>
      <c r="AV55" s="9">
        <f t="shared" si="31"/>
        <v>-78.676896841143886</v>
      </c>
      <c r="AW55" s="9"/>
      <c r="AX55" s="10">
        <v>43174</v>
      </c>
      <c r="AY55" s="9">
        <v>7481.7402339999999</v>
      </c>
      <c r="AZ55" s="11">
        <f t="shared" si="32"/>
        <v>-2.0101649743558604E-3</v>
      </c>
      <c r="BA55" s="9">
        <f t="shared" si="14"/>
        <v>104.83678652104508</v>
      </c>
      <c r="BB55" s="9">
        <f t="shared" si="15"/>
        <v>0.70701859859735439</v>
      </c>
      <c r="BC55" s="9">
        <f t="shared" si="33"/>
        <v>-66.761753950248448</v>
      </c>
      <c r="BD55" s="9"/>
      <c r="BE55" s="10">
        <v>43362</v>
      </c>
      <c r="BF55" s="9">
        <v>7950.0400390000004</v>
      </c>
      <c r="BG55" s="11">
        <f t="shared" si="34"/>
        <v>-7.6291354751485338E-4</v>
      </c>
      <c r="BH55" s="9">
        <f t="shared" si="16"/>
        <v>101.58523353390945</v>
      </c>
      <c r="BI55" s="9">
        <f t="shared" si="17"/>
        <v>0.58672296942495172</v>
      </c>
      <c r="BJ55" s="9">
        <f t="shared" si="35"/>
        <v>-51.907376539167906</v>
      </c>
    </row>
    <row r="56" spans="1:62" x14ac:dyDescent="0.3">
      <c r="A56" s="10">
        <v>41856</v>
      </c>
      <c r="B56" s="9">
        <v>4352.8398440000001</v>
      </c>
      <c r="C56" s="11">
        <f t="shared" si="18"/>
        <v>-7.0828173219798542E-3</v>
      </c>
      <c r="D56" s="9">
        <f t="shared" si="0"/>
        <v>103.02384247496859</v>
      </c>
      <c r="E56" s="9">
        <f t="shared" si="1"/>
        <v>0.70121958196560952</v>
      </c>
      <c r="F56" s="9">
        <f t="shared" si="19"/>
        <v>-67.15071438375648</v>
      </c>
      <c r="G56" s="9"/>
      <c r="H56" s="10">
        <v>42045</v>
      </c>
      <c r="I56" s="9">
        <v>4787.6401370000003</v>
      </c>
      <c r="J56" s="11">
        <f t="shared" si="20"/>
        <v>1.3040677876584861E-2</v>
      </c>
      <c r="K56" s="9">
        <f t="shared" si="2"/>
        <v>101.27534533618542</v>
      </c>
      <c r="L56" s="9">
        <f t="shared" si="3"/>
        <v>0.60398479466853694</v>
      </c>
      <c r="M56" s="9">
        <f t="shared" si="21"/>
        <v>-57.379115133253329</v>
      </c>
      <c r="N56" s="9"/>
      <c r="O56" s="10">
        <v>42233</v>
      </c>
      <c r="P56" s="9">
        <v>5091.7001950000003</v>
      </c>
      <c r="Q56" s="11">
        <f t="shared" si="22"/>
        <v>8.6089328133191374E-3</v>
      </c>
      <c r="R56" s="9">
        <f t="shared" si="4"/>
        <v>101.55229545608111</v>
      </c>
      <c r="S56" s="9">
        <f t="shared" si="5"/>
        <v>0.59466504287095934</v>
      </c>
      <c r="T56" s="9">
        <f t="shared" si="23"/>
        <v>-54.359242309353768</v>
      </c>
      <c r="U56" s="9"/>
      <c r="V56" s="10">
        <v>42423</v>
      </c>
      <c r="W56" s="9">
        <v>4503.580078</v>
      </c>
      <c r="X56" s="11">
        <f t="shared" si="24"/>
        <v>-1.4665391929995868E-2</v>
      </c>
      <c r="Y56" s="9">
        <f t="shared" si="6"/>
        <v>91.286252510597137</v>
      </c>
      <c r="Z56" s="9">
        <f t="shared" si="7"/>
        <v>0.21357284652333602</v>
      </c>
      <c r="AA56" s="9">
        <f t="shared" si="25"/>
        <v>-19.036778522629763</v>
      </c>
      <c r="AB56" s="9"/>
      <c r="AC56" s="10">
        <v>42608</v>
      </c>
      <c r="AD56" s="9">
        <v>5218.919922</v>
      </c>
      <c r="AE56" s="11">
        <f t="shared" si="26"/>
        <v>1.2892304110739732E-3</v>
      </c>
      <c r="AF56" s="9">
        <f t="shared" si="8"/>
        <v>107.89111831153777</v>
      </c>
      <c r="AG56" s="9">
        <f t="shared" si="9"/>
        <v>0.8612738589326544</v>
      </c>
      <c r="AH56" s="9">
        <f t="shared" si="27"/>
        <v>-84.283924855574909</v>
      </c>
      <c r="AI56" s="9"/>
      <c r="AJ56" s="10">
        <v>42800</v>
      </c>
      <c r="AK56" s="9">
        <v>5849.1801759999998</v>
      </c>
      <c r="AL56" s="11">
        <f t="shared" si="28"/>
        <v>-3.6741172763275821E-3</v>
      </c>
      <c r="AM56" s="9">
        <f t="shared" si="10"/>
        <v>107.37523928304935</v>
      </c>
      <c r="AN56" s="9">
        <f t="shared" si="11"/>
        <v>0.92048023592181571</v>
      </c>
      <c r="AO56" s="9">
        <f t="shared" si="29"/>
        <v>-90.614707713377129</v>
      </c>
      <c r="AP56" s="9"/>
      <c r="AQ56" s="10">
        <v>42986</v>
      </c>
      <c r="AR56" s="9">
        <v>6360.1899409999996</v>
      </c>
      <c r="AS56" s="11">
        <f t="shared" si="30"/>
        <v>-5.8894874873873211E-3</v>
      </c>
      <c r="AT56" s="9">
        <f t="shared" si="12"/>
        <v>103.57907149334534</v>
      </c>
      <c r="AU56" s="9">
        <f t="shared" si="13"/>
        <v>0.77462060746031547</v>
      </c>
      <c r="AV56" s="9">
        <f t="shared" si="31"/>
        <v>-75.557910030827543</v>
      </c>
      <c r="AW56" s="9"/>
      <c r="AX56" s="10">
        <v>43175</v>
      </c>
      <c r="AY56" s="9">
        <v>7481.9902339999999</v>
      </c>
      <c r="AZ56" s="11">
        <f t="shared" si="32"/>
        <v>3.3414685912764076E-5</v>
      </c>
      <c r="BA56" s="9">
        <f t="shared" si="14"/>
        <v>104.8402896093388</v>
      </c>
      <c r="BB56" s="9">
        <f t="shared" si="15"/>
        <v>0.70763157628267748</v>
      </c>
      <c r="BC56" s="9">
        <f t="shared" si="33"/>
        <v>-66.828762398402574</v>
      </c>
      <c r="BD56" s="9"/>
      <c r="BE56" s="10">
        <v>43363</v>
      </c>
      <c r="BF56" s="9">
        <v>8028.2299800000001</v>
      </c>
      <c r="BG56" s="11">
        <f t="shared" si="34"/>
        <v>9.8351631710567825E-3</v>
      </c>
      <c r="BH56" s="9">
        <f t="shared" si="16"/>
        <v>102.58434088148536</v>
      </c>
      <c r="BI56" s="9">
        <f t="shared" si="17"/>
        <v>0.61437930416681019</v>
      </c>
      <c r="BJ56" s="9">
        <f t="shared" si="35"/>
        <v>-54.746616633550012</v>
      </c>
    </row>
    <row r="57" spans="1:62" x14ac:dyDescent="0.3">
      <c r="A57" s="10">
        <v>41857</v>
      </c>
      <c r="B57" s="9">
        <v>4355.0498049999997</v>
      </c>
      <c r="C57" s="11">
        <f t="shared" si="18"/>
        <v>5.0770556216209054E-4</v>
      </c>
      <c r="D57" s="9">
        <f t="shared" si="0"/>
        <v>103.07614825282845</v>
      </c>
      <c r="E57" s="9">
        <f t="shared" si="1"/>
        <v>0.70423027700834162</v>
      </c>
      <c r="F57" s="9">
        <f t="shared" si="19"/>
        <v>-67.463804907429775</v>
      </c>
      <c r="G57" s="9"/>
      <c r="H57" s="10">
        <v>42046</v>
      </c>
      <c r="I57" s="9">
        <v>4801.1801759999998</v>
      </c>
      <c r="J57" s="11">
        <f t="shared" si="20"/>
        <v>2.8281237963895703E-3</v>
      </c>
      <c r="K57" s="9">
        <f t="shared" si="2"/>
        <v>101.56176455031827</v>
      </c>
      <c r="L57" s="9">
        <f t="shared" si="3"/>
        <v>0.61802805607976741</v>
      </c>
      <c r="M57" s="9">
        <f t="shared" si="21"/>
        <v>-58.807731636500336</v>
      </c>
      <c r="N57" s="9"/>
      <c r="O57" s="10">
        <v>42234</v>
      </c>
      <c r="P57" s="9">
        <v>5059.3500979999999</v>
      </c>
      <c r="Q57" s="11">
        <f t="shared" si="22"/>
        <v>-6.3534960349330739E-3</v>
      </c>
      <c r="R57" s="9">
        <f t="shared" si="4"/>
        <v>100.90708334956255</v>
      </c>
      <c r="S57" s="9">
        <f t="shared" si="5"/>
        <v>0.57175790053026643</v>
      </c>
      <c r="T57" s="9">
        <f t="shared" si="23"/>
        <v>-52.049983375249475</v>
      </c>
      <c r="U57" s="9"/>
      <c r="V57" s="10">
        <v>42424</v>
      </c>
      <c r="W57" s="9">
        <v>4542.6098629999997</v>
      </c>
      <c r="X57" s="11">
        <f t="shared" si="24"/>
        <v>8.6663908099825562E-3</v>
      </c>
      <c r="Y57" s="9">
        <f t="shared" si="6"/>
        <v>92.077374850432719</v>
      </c>
      <c r="Z57" s="9">
        <f t="shared" si="7"/>
        <v>0.23771581466581565</v>
      </c>
      <c r="AA57" s="9">
        <f t="shared" si="25"/>
        <v>-21.260581999726419</v>
      </c>
      <c r="AB57" s="9"/>
      <c r="AC57" s="10">
        <v>42611</v>
      </c>
      <c r="AD57" s="9">
        <v>5232.330078</v>
      </c>
      <c r="AE57" s="11">
        <f t="shared" si="26"/>
        <v>2.5695270669837873E-3</v>
      </c>
      <c r="AF57" s="9">
        <f t="shared" si="8"/>
        <v>108.16834746032642</v>
      </c>
      <c r="AG57" s="9">
        <f t="shared" si="9"/>
        <v>0.87104759155253464</v>
      </c>
      <c r="AH57" s="9">
        <f t="shared" si="27"/>
        <v>-85.351525170982086</v>
      </c>
      <c r="AI57" s="9"/>
      <c r="AJ57" s="10">
        <v>42801</v>
      </c>
      <c r="AK57" s="9">
        <v>5833.9301759999998</v>
      </c>
      <c r="AL57" s="11">
        <f t="shared" si="28"/>
        <v>-2.6072029824919518E-3</v>
      </c>
      <c r="AM57" s="9">
        <f t="shared" si="10"/>
        <v>107.0952902389448</v>
      </c>
      <c r="AN57" s="9">
        <f t="shared" si="11"/>
        <v>0.9139944638807701</v>
      </c>
      <c r="AO57" s="9">
        <f t="shared" si="29"/>
        <v>-89.923836042834893</v>
      </c>
      <c r="AP57" s="9"/>
      <c r="AQ57" s="10">
        <v>42989</v>
      </c>
      <c r="AR57" s="9">
        <v>6432.2597660000001</v>
      </c>
      <c r="AS57" s="11">
        <f t="shared" si="30"/>
        <v>1.1331395079164744E-2</v>
      </c>
      <c r="AT57" s="9">
        <f t="shared" si="12"/>
        <v>104.75276687436947</v>
      </c>
      <c r="AU57" s="9">
        <f t="shared" si="13"/>
        <v>0.8335294424648938</v>
      </c>
      <c r="AV57" s="9">
        <f t="shared" si="31"/>
        <v>-81.738089423931811</v>
      </c>
      <c r="AW57" s="9"/>
      <c r="AX57" s="10">
        <v>43178</v>
      </c>
      <c r="AY57" s="9">
        <v>7344.2402339999999</v>
      </c>
      <c r="AZ57" s="11">
        <f t="shared" si="32"/>
        <v>-1.8410876744269219E-2</v>
      </c>
      <c r="BA57" s="9">
        <f t="shared" si="14"/>
        <v>102.91008795950778</v>
      </c>
      <c r="BB57" s="9">
        <f t="shared" si="15"/>
        <v>0.64531766548492908</v>
      </c>
      <c r="BC57" s="9">
        <f t="shared" si="33"/>
        <v>-60.4242720275073</v>
      </c>
      <c r="BD57" s="9"/>
      <c r="BE57" s="10">
        <v>43364</v>
      </c>
      <c r="BF57" s="9">
        <v>7986.9599609999996</v>
      </c>
      <c r="BG57" s="11">
        <f t="shared" si="34"/>
        <v>-5.1406124516627889E-3</v>
      </c>
      <c r="BH57" s="9">
        <f t="shared" si="16"/>
        <v>102.05699454140438</v>
      </c>
      <c r="BI57" s="9">
        <f t="shared" si="17"/>
        <v>0.5999611310778209</v>
      </c>
      <c r="BJ57" s="9">
        <f t="shared" si="35"/>
        <v>-53.277391128498202</v>
      </c>
    </row>
    <row r="58" spans="1:62" x14ac:dyDescent="0.3">
      <c r="A58" s="10">
        <v>41858</v>
      </c>
      <c r="B58" s="9">
        <v>4334.9702150000003</v>
      </c>
      <c r="C58" s="11">
        <f t="shared" si="18"/>
        <v>-4.6106453195888016E-3</v>
      </c>
      <c r="D58" s="9">
        <f t="shared" si="0"/>
        <v>102.6009006923253</v>
      </c>
      <c r="E58" s="9">
        <f t="shared" si="1"/>
        <v>0.68135887433637954</v>
      </c>
      <c r="F58" s="9">
        <f t="shared" si="19"/>
        <v>-65.119950935292437</v>
      </c>
      <c r="G58" s="9"/>
      <c r="H58" s="10">
        <v>42047</v>
      </c>
      <c r="I58" s="9">
        <v>4857.6098629999997</v>
      </c>
      <c r="J58" s="11">
        <f t="shared" si="20"/>
        <v>1.1753295009022764E-2</v>
      </c>
      <c r="K58" s="9">
        <f t="shared" si="2"/>
        <v>102.75544993071506</v>
      </c>
      <c r="L58" s="9">
        <f t="shared" si="3"/>
        <v>0.67431129513432053</v>
      </c>
      <c r="M58" s="9">
        <f t="shared" si="21"/>
        <v>-64.59355799486363</v>
      </c>
      <c r="N58" s="9"/>
      <c r="O58" s="10">
        <v>42235</v>
      </c>
      <c r="P58" s="9">
        <v>5019.0498049999997</v>
      </c>
      <c r="Q58" s="11">
        <f t="shared" si="22"/>
        <v>-7.9655078655124605E-3</v>
      </c>
      <c r="R58" s="9">
        <f t="shared" si="4"/>
        <v>100.10330718345568</v>
      </c>
      <c r="S58" s="9">
        <f t="shared" si="5"/>
        <v>0.5424292839621172</v>
      </c>
      <c r="T58" s="9">
        <f t="shared" si="23"/>
        <v>-49.116230946028409</v>
      </c>
      <c r="U58" s="9"/>
      <c r="V58" s="10">
        <v>42425</v>
      </c>
      <c r="W58" s="9">
        <v>4582.2001950000003</v>
      </c>
      <c r="X58" s="11">
        <f t="shared" si="24"/>
        <v>8.7153273545385844E-3</v>
      </c>
      <c r="Y58" s="9">
        <f t="shared" si="6"/>
        <v>92.879859314200814</v>
      </c>
      <c r="Z58" s="9">
        <f t="shared" si="7"/>
        <v>0.26366727195548045</v>
      </c>
      <c r="AA58" s="9">
        <f t="shared" si="25"/>
        <v>-23.671823442290357</v>
      </c>
      <c r="AB58" s="9"/>
      <c r="AC58" s="10">
        <v>42612</v>
      </c>
      <c r="AD58" s="9">
        <v>5222.9902339999999</v>
      </c>
      <c r="AE58" s="11">
        <f t="shared" si="26"/>
        <v>-1.7850257649590288E-3</v>
      </c>
      <c r="AF58" s="9">
        <f t="shared" si="8"/>
        <v>107.9752641731567</v>
      </c>
      <c r="AG58" s="9">
        <f t="shared" si="9"/>
        <v>0.86690821054673517</v>
      </c>
      <c r="AH58" s="9">
        <f t="shared" si="27"/>
        <v>-84.908082082367258</v>
      </c>
      <c r="AI58" s="9"/>
      <c r="AJ58" s="10">
        <v>42802</v>
      </c>
      <c r="AK58" s="9">
        <v>5837.5498049999997</v>
      </c>
      <c r="AL58" s="11">
        <f t="shared" si="28"/>
        <v>6.2044434725846889E-4</v>
      </c>
      <c r="AM58" s="9">
        <f t="shared" si="10"/>
        <v>107.16173690639155</v>
      </c>
      <c r="AN58" s="9">
        <f t="shared" si="11"/>
        <v>0.91654339096653914</v>
      </c>
      <c r="AO58" s="9">
        <f t="shared" si="29"/>
        <v>-90.200679072640966</v>
      </c>
      <c r="AP58" s="9"/>
      <c r="AQ58" s="10">
        <v>42990</v>
      </c>
      <c r="AR58" s="9">
        <v>6454.2797849999997</v>
      </c>
      <c r="AS58" s="11">
        <f t="shared" si="30"/>
        <v>3.4233721586298871E-3</v>
      </c>
      <c r="AT58" s="9">
        <f t="shared" si="12"/>
        <v>105.11137458002663</v>
      </c>
      <c r="AU58" s="9">
        <f t="shared" si="13"/>
        <v>0.84956863375884384</v>
      </c>
      <c r="AV58" s="9">
        <f t="shared" si="31"/>
        <v>-83.427350036579796</v>
      </c>
      <c r="AW58" s="9"/>
      <c r="AX58" s="10">
        <v>43179</v>
      </c>
      <c r="AY58" s="9">
        <v>7364.2998049999997</v>
      </c>
      <c r="AZ58" s="11">
        <f t="shared" si="32"/>
        <v>2.7313337201490813E-3</v>
      </c>
      <c r="BA58" s="9">
        <f t="shared" si="14"/>
        <v>103.19116975289508</v>
      </c>
      <c r="BB58" s="9">
        <f t="shared" si="15"/>
        <v>0.6553395914292095</v>
      </c>
      <c r="BC58" s="9">
        <f t="shared" si="33"/>
        <v>-61.460929529161021</v>
      </c>
      <c r="BD58" s="9"/>
      <c r="BE58" s="10">
        <v>43367</v>
      </c>
      <c r="BF58" s="9">
        <v>7993.25</v>
      </c>
      <c r="BG58" s="11">
        <f t="shared" si="34"/>
        <v>7.875385667030307E-4</v>
      </c>
      <c r="BH58" s="9">
        <f t="shared" si="16"/>
        <v>102.13736836060754</v>
      </c>
      <c r="BI58" s="9">
        <f t="shared" si="17"/>
        <v>0.60245829045039589</v>
      </c>
      <c r="BJ58" s="9">
        <f t="shared" si="35"/>
        <v>-53.539013265592452</v>
      </c>
    </row>
    <row r="59" spans="1:62" x14ac:dyDescent="0.3">
      <c r="A59" s="10">
        <v>41859</v>
      </c>
      <c r="B59" s="9">
        <v>4370.8999020000001</v>
      </c>
      <c r="C59" s="11">
        <f t="shared" si="18"/>
        <v>8.2883353790240127E-3</v>
      </c>
      <c r="D59" s="9">
        <f t="shared" si="0"/>
        <v>103.45129136745324</v>
      </c>
      <c r="E59" s="9">
        <f t="shared" si="1"/>
        <v>0.72312097445316059</v>
      </c>
      <c r="F59" s="9">
        <f t="shared" si="19"/>
        <v>-69.442970339947891</v>
      </c>
      <c r="G59" s="9"/>
      <c r="H59" s="10">
        <v>42048</v>
      </c>
      <c r="I59" s="9">
        <v>4893.8398440000001</v>
      </c>
      <c r="J59" s="11">
        <f t="shared" si="20"/>
        <v>7.4583966234013739E-3</v>
      </c>
      <c r="K59" s="9">
        <f t="shared" si="2"/>
        <v>103.52184083151441</v>
      </c>
      <c r="L59" s="9">
        <f t="shared" si="3"/>
        <v>0.70865451138096458</v>
      </c>
      <c r="M59" s="9">
        <f t="shared" si="21"/>
        <v>-68.151485545117467</v>
      </c>
      <c r="N59" s="9"/>
      <c r="O59" s="10">
        <v>42236</v>
      </c>
      <c r="P59" s="9">
        <v>4877.4902339999999</v>
      </c>
      <c r="Q59" s="11">
        <f t="shared" si="22"/>
        <v>-2.8204456321389262E-2</v>
      </c>
      <c r="R59" s="9">
        <f t="shared" si="4"/>
        <v>97.279947828373309</v>
      </c>
      <c r="S59" s="9">
        <f t="shared" si="5"/>
        <v>0.43620981738811271</v>
      </c>
      <c r="T59" s="9">
        <f t="shared" si="23"/>
        <v>-38.785225296072049</v>
      </c>
      <c r="U59" s="9"/>
      <c r="V59" s="10">
        <v>42426</v>
      </c>
      <c r="W59" s="9">
        <v>4590.4702150000003</v>
      </c>
      <c r="X59" s="11">
        <f t="shared" si="24"/>
        <v>1.8048142045439222E-3</v>
      </c>
      <c r="Y59" s="9">
        <f t="shared" si="6"/>
        <v>93.047490203607126</v>
      </c>
      <c r="Z59" s="9">
        <f t="shared" si="7"/>
        <v>0.26832465708469877</v>
      </c>
      <c r="AA59" s="9">
        <f t="shared" si="25"/>
        <v>-24.106154274127352</v>
      </c>
      <c r="AB59" s="9"/>
      <c r="AC59" s="10">
        <v>42613</v>
      </c>
      <c r="AD59" s="9">
        <v>5213.2202150000003</v>
      </c>
      <c r="AE59" s="11">
        <f t="shared" si="26"/>
        <v>-1.8705796033084432E-3</v>
      </c>
      <c r="AF59" s="9">
        <f t="shared" si="8"/>
        <v>107.77328784633255</v>
      </c>
      <c r="AG59" s="9">
        <f t="shared" si="9"/>
        <v>0.86239527988522247</v>
      </c>
      <c r="AH59" s="9">
        <f t="shared" si="27"/>
        <v>-84.425198152090204</v>
      </c>
      <c r="AI59" s="9"/>
      <c r="AJ59" s="10">
        <v>42803</v>
      </c>
      <c r="AK59" s="9">
        <v>5838.8100590000004</v>
      </c>
      <c r="AL59" s="11">
        <f t="shared" si="28"/>
        <v>2.1588749425679871E-4</v>
      </c>
      <c r="AM59" s="9">
        <f t="shared" si="10"/>
        <v>107.18487178525247</v>
      </c>
      <c r="AN59" s="9">
        <f t="shared" si="11"/>
        <v>0.91793694502275303</v>
      </c>
      <c r="AO59" s="9">
        <f t="shared" si="29"/>
        <v>-90.353753938873979</v>
      </c>
      <c r="AP59" s="9"/>
      <c r="AQ59" s="10">
        <v>42991</v>
      </c>
      <c r="AR59" s="9">
        <v>6460.1899409999996</v>
      </c>
      <c r="AS59" s="11">
        <f t="shared" si="30"/>
        <v>9.1569566192890341E-4</v>
      </c>
      <c r="AT59" s="9">
        <f t="shared" si="12"/>
        <v>105.20762460974895</v>
      </c>
      <c r="AU59" s="9">
        <f t="shared" si="13"/>
        <v>0.85431840066264686</v>
      </c>
      <c r="AV59" s="9">
        <f t="shared" si="31"/>
        <v>-83.930490321663314</v>
      </c>
      <c r="AW59" s="9"/>
      <c r="AX59" s="10">
        <v>43180</v>
      </c>
      <c r="AY59" s="9">
        <v>7345.2900390000004</v>
      </c>
      <c r="AZ59" s="11">
        <f t="shared" si="32"/>
        <v>-2.5813405895143645E-3</v>
      </c>
      <c r="BA59" s="9">
        <f t="shared" si="14"/>
        <v>102.92479819793246</v>
      </c>
      <c r="BB59" s="9">
        <f t="shared" si="15"/>
        <v>0.64641780629089807</v>
      </c>
      <c r="BC59" s="9">
        <f t="shared" si="33"/>
        <v>-60.545182437760026</v>
      </c>
      <c r="BD59" s="9"/>
      <c r="BE59" s="10">
        <v>43368</v>
      </c>
      <c r="BF59" s="9">
        <v>8007.4702150000003</v>
      </c>
      <c r="BG59" s="11">
        <f t="shared" si="34"/>
        <v>1.7790279298158171E-3</v>
      </c>
      <c r="BH59" s="9">
        <f t="shared" si="16"/>
        <v>102.31907359159895</v>
      </c>
      <c r="BI59" s="9">
        <f t="shared" si="17"/>
        <v>0.60766579985194702</v>
      </c>
      <c r="BJ59" s="9">
        <f t="shared" si="35"/>
        <v>-54.074041081911467</v>
      </c>
    </row>
    <row r="60" spans="1:62" x14ac:dyDescent="0.3">
      <c r="A60" s="10">
        <v>41862</v>
      </c>
      <c r="B60" s="9">
        <v>4401.330078</v>
      </c>
      <c r="C60" s="11">
        <f t="shared" si="18"/>
        <v>6.9619933382770579E-3</v>
      </c>
      <c r="D60" s="9">
        <f t="shared" si="0"/>
        <v>104.17151856878959</v>
      </c>
      <c r="E60" s="9">
        <f t="shared" si="1"/>
        <v>0.75780182168594235</v>
      </c>
      <c r="F60" s="9">
        <f t="shared" si="19"/>
        <v>-73.064288851318736</v>
      </c>
      <c r="G60" s="9"/>
      <c r="H60" s="10">
        <v>42052</v>
      </c>
      <c r="I60" s="9">
        <v>4899.2700199999999</v>
      </c>
      <c r="J60" s="11">
        <f t="shared" si="20"/>
        <v>1.109594137343381E-3</v>
      </c>
      <c r="K60" s="9">
        <f t="shared" si="2"/>
        <v>103.63670805918805</v>
      </c>
      <c r="L60" s="9">
        <f t="shared" si="3"/>
        <v>0.71579555260751271</v>
      </c>
      <c r="M60" s="9">
        <f t="shared" si="21"/>
        <v>-68.902763454720741</v>
      </c>
      <c r="N60" s="9"/>
      <c r="O60" s="10">
        <v>42237</v>
      </c>
      <c r="P60" s="9">
        <v>4706.0400390000004</v>
      </c>
      <c r="Q60" s="11">
        <f t="shared" si="22"/>
        <v>-3.5151314871909888E-2</v>
      </c>
      <c r="R60" s="9">
        <f t="shared" si="4"/>
        <v>93.860429751535193</v>
      </c>
      <c r="S60" s="9">
        <f t="shared" si="5"/>
        <v>0.30948243750304411</v>
      </c>
      <c r="T60" s="9">
        <f t="shared" si="23"/>
        <v>-26.892132904893877</v>
      </c>
      <c r="U60" s="9"/>
      <c r="V60" s="10">
        <v>42429</v>
      </c>
      <c r="W60" s="9">
        <v>4557.9501950000003</v>
      </c>
      <c r="X60" s="11">
        <f t="shared" si="24"/>
        <v>-7.0842459436369371E-3</v>
      </c>
      <c r="Y60" s="9">
        <f t="shared" si="6"/>
        <v>92.38831889856661</v>
      </c>
      <c r="Z60" s="9">
        <f t="shared" si="7"/>
        <v>0.24185649166091217</v>
      </c>
      <c r="AA60" s="9">
        <f t="shared" si="25"/>
        <v>-21.663777141129874</v>
      </c>
      <c r="AB60" s="9"/>
      <c r="AC60" s="10">
        <v>42614</v>
      </c>
      <c r="AD60" s="9">
        <v>5227.2099609999996</v>
      </c>
      <c r="AE60" s="11">
        <f t="shared" si="26"/>
        <v>2.6835133416667468E-3</v>
      </c>
      <c r="AF60" s="9">
        <f t="shared" si="8"/>
        <v>108.06249890214347</v>
      </c>
      <c r="AG60" s="9">
        <f t="shared" si="9"/>
        <v>0.87094086731181375</v>
      </c>
      <c r="AH60" s="9">
        <f t="shared" si="27"/>
        <v>-85.352125283978225</v>
      </c>
      <c r="AI60" s="9"/>
      <c r="AJ60" s="10">
        <v>42804</v>
      </c>
      <c r="AK60" s="9">
        <v>5861.7299800000001</v>
      </c>
      <c r="AL60" s="11">
        <f t="shared" si="28"/>
        <v>3.9254438435911629E-3</v>
      </c>
      <c r="AM60" s="9">
        <f t="shared" si="10"/>
        <v>107.605619980328</v>
      </c>
      <c r="AN60" s="9">
        <f t="shared" si="11"/>
        <v>0.92910233092231809</v>
      </c>
      <c r="AO60" s="9">
        <f t="shared" si="29"/>
        <v>-91.558925455185388</v>
      </c>
      <c r="AP60" s="9"/>
      <c r="AQ60" s="10">
        <v>42992</v>
      </c>
      <c r="AR60" s="9">
        <v>6429.080078</v>
      </c>
      <c r="AS60" s="11">
        <f t="shared" si="30"/>
        <v>-4.8156266741568986E-3</v>
      </c>
      <c r="AT60" s="9">
        <f t="shared" si="12"/>
        <v>104.70098396635356</v>
      </c>
      <c r="AU60" s="9">
        <f t="shared" si="13"/>
        <v>0.833691358451498</v>
      </c>
      <c r="AV60" s="9">
        <f t="shared" si="31"/>
        <v>-81.774267974947804</v>
      </c>
      <c r="AW60" s="9"/>
      <c r="AX60" s="10">
        <v>43181</v>
      </c>
      <c r="AY60" s="9">
        <v>7166.6801759999998</v>
      </c>
      <c r="AZ60" s="11">
        <f t="shared" si="32"/>
        <v>-2.431624374962283E-2</v>
      </c>
      <c r="BA60" s="9">
        <f t="shared" si="14"/>
        <v>100.42205371707081</v>
      </c>
      <c r="BB60" s="9">
        <f t="shared" si="15"/>
        <v>0.55453502793683684</v>
      </c>
      <c r="BC60" s="9">
        <f t="shared" si="33"/>
        <v>-51.320613343524386</v>
      </c>
      <c r="BD60" s="9"/>
      <c r="BE60" s="10">
        <v>43369</v>
      </c>
      <c r="BF60" s="9">
        <v>7990.3701170000004</v>
      </c>
      <c r="BG60" s="11">
        <f t="shared" si="34"/>
        <v>-2.1355181525330078E-3</v>
      </c>
      <c r="BH60" s="9">
        <f t="shared" si="16"/>
        <v>102.10056935259372</v>
      </c>
      <c r="BI60" s="9">
        <f t="shared" si="17"/>
        <v>0.60160469047637943</v>
      </c>
      <c r="BJ60" s="9">
        <f t="shared" si="35"/>
        <v>-53.457420630286748</v>
      </c>
    </row>
    <row r="61" spans="1:62" x14ac:dyDescent="0.3">
      <c r="A61" s="10">
        <v>41863</v>
      </c>
      <c r="B61" s="9">
        <v>4389.25</v>
      </c>
      <c r="C61" s="11">
        <f t="shared" si="18"/>
        <v>-2.7446425934701184E-3</v>
      </c>
      <c r="D61" s="9">
        <f t="shared" si="0"/>
        <v>103.88560498189922</v>
      </c>
      <c r="E61" s="9">
        <f t="shared" si="1"/>
        <v>0.74571289736426327</v>
      </c>
      <c r="F61" s="9">
        <f t="shared" si="19"/>
        <v>-71.811426338287248</v>
      </c>
      <c r="G61" s="9"/>
      <c r="H61" s="10">
        <v>42053</v>
      </c>
      <c r="I61" s="9">
        <v>4906.3598629999997</v>
      </c>
      <c r="J61" s="11">
        <f t="shared" si="20"/>
        <v>1.447122320479847E-3</v>
      </c>
      <c r="K61" s="9">
        <f t="shared" si="2"/>
        <v>103.78668305264156</v>
      </c>
      <c r="L61" s="9">
        <f t="shared" si="3"/>
        <v>0.72284037626412356</v>
      </c>
      <c r="M61" s="9">
        <f t="shared" si="21"/>
        <v>-69.636754013331881</v>
      </c>
      <c r="N61" s="9"/>
      <c r="O61" s="10">
        <v>42240</v>
      </c>
      <c r="P61" s="9">
        <v>4526.25</v>
      </c>
      <c r="Q61" s="11">
        <f t="shared" si="22"/>
        <v>-3.8204103133428612E-2</v>
      </c>
      <c r="R61" s="9">
        <f t="shared" si="4"/>
        <v>90.274576213159605</v>
      </c>
      <c r="S61" s="9">
        <f t="shared" si="5"/>
        <v>0.19033340172797664</v>
      </c>
      <c r="T61" s="9">
        <f t="shared" si="23"/>
        <v>-16.13931986691999</v>
      </c>
      <c r="U61" s="9"/>
      <c r="V61" s="10">
        <v>42430</v>
      </c>
      <c r="W61" s="9">
        <v>4689.6000979999999</v>
      </c>
      <c r="X61" s="11">
        <f t="shared" si="24"/>
        <v>2.8883576469180688E-2</v>
      </c>
      <c r="Y61" s="9">
        <f t="shared" si="6"/>
        <v>95.05682397233241</v>
      </c>
      <c r="Z61" s="9">
        <f t="shared" si="7"/>
        <v>0.33828156487417244</v>
      </c>
      <c r="AA61" s="9">
        <f t="shared" si="25"/>
        <v>-30.83052866258722</v>
      </c>
      <c r="AB61" s="9"/>
      <c r="AC61" s="10">
        <v>42615</v>
      </c>
      <c r="AD61" s="9">
        <v>5249.8999020000001</v>
      </c>
      <c r="AE61" s="11">
        <f t="shared" si="26"/>
        <v>4.3407364864410016E-3</v>
      </c>
      <c r="AF61" s="9">
        <f t="shared" si="8"/>
        <v>108.531569733944</v>
      </c>
      <c r="AG61" s="9">
        <f t="shared" si="9"/>
        <v>0.8835709886326476</v>
      </c>
      <c r="AH61" s="9">
        <f t="shared" si="27"/>
        <v>-86.726399870520893</v>
      </c>
      <c r="AI61" s="9"/>
      <c r="AJ61" s="10">
        <v>42807</v>
      </c>
      <c r="AK61" s="9">
        <v>5875.7797849999997</v>
      </c>
      <c r="AL61" s="11">
        <f t="shared" si="28"/>
        <v>2.3968700448395016E-3</v>
      </c>
      <c r="AM61" s="9">
        <f t="shared" si="10"/>
        <v>107.86353666751522</v>
      </c>
      <c r="AN61" s="9">
        <f t="shared" si="11"/>
        <v>0.93715234722105223</v>
      </c>
      <c r="AO61" s="9">
        <f t="shared" si="29"/>
        <v>-92.438517465967522</v>
      </c>
      <c r="AP61" s="9"/>
      <c r="AQ61" s="10">
        <v>42993</v>
      </c>
      <c r="AR61" s="9">
        <v>6448.4702150000003</v>
      </c>
      <c r="AS61" s="11">
        <f t="shared" si="30"/>
        <v>3.0160048972406534E-3</v>
      </c>
      <c r="AT61" s="9">
        <f t="shared" si="12"/>
        <v>105.016762646742</v>
      </c>
      <c r="AU61" s="9">
        <f t="shared" si="13"/>
        <v>0.84816207345699368</v>
      </c>
      <c r="AV61" s="9">
        <f t="shared" si="31"/>
        <v>-83.2972962734178</v>
      </c>
      <c r="AW61" s="9"/>
      <c r="AX61" s="10">
        <v>43182</v>
      </c>
      <c r="AY61" s="9">
        <v>6992.669922</v>
      </c>
      <c r="AZ61" s="11">
        <f t="shared" si="32"/>
        <v>-2.428045478891757E-2</v>
      </c>
      <c r="BA61" s="9">
        <f t="shared" si="14"/>
        <v>97.983760581983219</v>
      </c>
      <c r="BB61" s="9">
        <f t="shared" si="15"/>
        <v>0.45890595029560977</v>
      </c>
      <c r="BC61" s="9">
        <f t="shared" si="33"/>
        <v>-41.952625804889863</v>
      </c>
      <c r="BD61" s="9"/>
      <c r="BE61" s="10">
        <v>43370</v>
      </c>
      <c r="BF61" s="9">
        <v>8041.9702150000003</v>
      </c>
      <c r="BG61" s="11">
        <f t="shared" si="34"/>
        <v>6.4577857151094323E-3</v>
      </c>
      <c r="BH61" s="9">
        <f t="shared" si="16"/>
        <v>102.75991295086344</v>
      </c>
      <c r="BI61" s="9">
        <f t="shared" si="17"/>
        <v>0.62030363037033109</v>
      </c>
      <c r="BJ61" s="9">
        <f t="shared" si="35"/>
        <v>-55.381118991504515</v>
      </c>
    </row>
    <row r="62" spans="1:62" x14ac:dyDescent="0.3">
      <c r="A62" s="10">
        <v>41864</v>
      </c>
      <c r="B62" s="9">
        <v>4434.1298829999996</v>
      </c>
      <c r="C62" s="11">
        <f t="shared" si="18"/>
        <v>1.022495483283012E-2</v>
      </c>
      <c r="D62" s="9">
        <f t="shared" si="0"/>
        <v>104.94783060062038</v>
      </c>
      <c r="E62" s="9">
        <f t="shared" si="1"/>
        <v>0.79212670343703961</v>
      </c>
      <c r="F62" s="9">
        <f t="shared" si="19"/>
        <v>-76.685405810691051</v>
      </c>
      <c r="G62" s="9"/>
      <c r="H62" s="10">
        <v>42054</v>
      </c>
      <c r="I62" s="9">
        <v>4924.7001950000003</v>
      </c>
      <c r="J62" s="11">
        <f t="shared" si="20"/>
        <v>3.7380731361165288E-3</v>
      </c>
      <c r="K62" s="9">
        <f t="shared" si="2"/>
        <v>104.17464526444726</v>
      </c>
      <c r="L62" s="9">
        <f t="shared" si="3"/>
        <v>0.73985334271068437</v>
      </c>
      <c r="M62" s="9">
        <f t="shared" si="21"/>
        <v>-71.411935601014392</v>
      </c>
      <c r="N62" s="9"/>
      <c r="O62" s="10">
        <v>42241</v>
      </c>
      <c r="P62" s="9">
        <v>4506.4902339999999</v>
      </c>
      <c r="Q62" s="11">
        <f t="shared" si="22"/>
        <v>-4.3655931510632705E-3</v>
      </c>
      <c r="R62" s="9">
        <f t="shared" si="4"/>
        <v>89.880474141528296</v>
      </c>
      <c r="S62" s="9">
        <f t="shared" si="5"/>
        <v>0.17790647717518274</v>
      </c>
      <c r="T62" s="9">
        <f t="shared" si="23"/>
        <v>-15.023045269343243</v>
      </c>
      <c r="U62" s="9"/>
      <c r="V62" s="10">
        <v>42431</v>
      </c>
      <c r="W62" s="9">
        <v>4703.419922</v>
      </c>
      <c r="X62" s="11">
        <f t="shared" si="24"/>
        <v>2.9469088432282258E-3</v>
      </c>
      <c r="Y62" s="9">
        <f t="shared" si="6"/>
        <v>95.336947767505677</v>
      </c>
      <c r="Z62" s="9">
        <f t="shared" si="7"/>
        <v>0.34821200342563841</v>
      </c>
      <c r="AA62" s="9">
        <f t="shared" si="25"/>
        <v>-31.778533398138752</v>
      </c>
      <c r="AB62" s="9"/>
      <c r="AC62" s="10">
        <v>42619</v>
      </c>
      <c r="AD62" s="9">
        <v>5275.9101559999999</v>
      </c>
      <c r="AE62" s="11">
        <f t="shared" si="26"/>
        <v>4.9544285577884919E-3</v>
      </c>
      <c r="AF62" s="9">
        <f t="shared" si="8"/>
        <v>109.06928164245546</v>
      </c>
      <c r="AG62" s="9">
        <f t="shared" si="9"/>
        <v>0.89956080906852942</v>
      </c>
      <c r="AH62" s="9">
        <f t="shared" si="27"/>
        <v>-88.484655665376295</v>
      </c>
      <c r="AI62" s="9"/>
      <c r="AJ62" s="10">
        <v>42808</v>
      </c>
      <c r="AK62" s="9">
        <v>5856.8198240000002</v>
      </c>
      <c r="AL62" s="11">
        <f t="shared" si="28"/>
        <v>-3.2267991132686005E-3</v>
      </c>
      <c r="AM62" s="9">
        <f t="shared" si="10"/>
        <v>107.51548270304248</v>
      </c>
      <c r="AN62" s="9">
        <f t="shared" si="11"/>
        <v>0.9300879463526659</v>
      </c>
      <c r="AO62" s="9">
        <f t="shared" si="29"/>
        <v>-91.682783917838194</v>
      </c>
      <c r="AP62" s="9"/>
      <c r="AQ62" s="10">
        <v>42996</v>
      </c>
      <c r="AR62" s="9">
        <v>6454.6401370000003</v>
      </c>
      <c r="AS62" s="11">
        <f t="shared" si="30"/>
        <v>9.5680398517589214E-4</v>
      </c>
      <c r="AT62" s="9">
        <f t="shared" si="12"/>
        <v>105.11724310375268</v>
      </c>
      <c r="AU62" s="9">
        <f t="shared" si="13"/>
        <v>0.85493834014140779</v>
      </c>
      <c r="AV62" s="9">
        <f t="shared" si="31"/>
        <v>-84.019868908575987</v>
      </c>
      <c r="AW62" s="9"/>
      <c r="AX62" s="10">
        <v>43185</v>
      </c>
      <c r="AY62" s="9">
        <v>7220.5400390000004</v>
      </c>
      <c r="AZ62" s="11">
        <f t="shared" si="32"/>
        <v>3.2586997461883115E-2</v>
      </c>
      <c r="BA62" s="9">
        <f t="shared" si="14"/>
        <v>101.17675713937406</v>
      </c>
      <c r="BB62" s="9">
        <f t="shared" si="15"/>
        <v>0.58327609496248201</v>
      </c>
      <c r="BC62" s="9">
        <f t="shared" si="33"/>
        <v>-54.541166287626318</v>
      </c>
      <c r="BD62" s="9"/>
      <c r="BE62" s="10">
        <v>43371</v>
      </c>
      <c r="BF62" s="9">
        <v>8046.3500979999999</v>
      </c>
      <c r="BG62" s="11">
        <f t="shared" si="34"/>
        <v>5.446281051663418E-4</v>
      </c>
      <c r="BH62" s="9">
        <f t="shared" si="16"/>
        <v>102.81587888754093</v>
      </c>
      <c r="BI62" s="9">
        <f t="shared" si="17"/>
        <v>0.62205113691340008</v>
      </c>
      <c r="BJ62" s="9">
        <f t="shared" si="35"/>
        <v>-55.563066395755243</v>
      </c>
    </row>
    <row r="63" spans="1:62" x14ac:dyDescent="0.3">
      <c r="A63" s="10">
        <v>41865</v>
      </c>
      <c r="B63" s="9">
        <v>4453</v>
      </c>
      <c r="C63" s="11">
        <f t="shared" si="18"/>
        <v>4.2556527431337745E-3</v>
      </c>
      <c r="D63" s="9">
        <f t="shared" si="0"/>
        <v>105.39445212380186</v>
      </c>
      <c r="E63" s="9">
        <f t="shared" si="1"/>
        <v>0.81054011357719791</v>
      </c>
      <c r="F63" s="9">
        <f t="shared" si="19"/>
        <v>-78.62922860393401</v>
      </c>
      <c r="G63" s="9"/>
      <c r="H63" s="10">
        <v>42055</v>
      </c>
      <c r="I63" s="9">
        <v>4955.9702150000003</v>
      </c>
      <c r="J63" s="11">
        <f t="shared" si="20"/>
        <v>6.3496291676289401E-3</v>
      </c>
      <c r="K63" s="9">
        <f t="shared" si="2"/>
        <v>104.83611563054581</v>
      </c>
      <c r="L63" s="9">
        <f t="shared" si="3"/>
        <v>0.76724475397146785</v>
      </c>
      <c r="M63" s="9">
        <f t="shared" si="21"/>
        <v>-74.286479556616854</v>
      </c>
      <c r="N63" s="9"/>
      <c r="O63" s="10">
        <v>42242</v>
      </c>
      <c r="P63" s="9">
        <v>4697.5400390000004</v>
      </c>
      <c r="Q63" s="11">
        <f t="shared" si="22"/>
        <v>4.2394367918206513E-2</v>
      </c>
      <c r="R63" s="9">
        <f t="shared" si="4"/>
        <v>93.690900030947091</v>
      </c>
      <c r="S63" s="9">
        <f t="shared" si="5"/>
        <v>0.29782425268547708</v>
      </c>
      <c r="T63" s="9">
        <f t="shared" si="23"/>
        <v>-26.258866984719987</v>
      </c>
      <c r="U63" s="9"/>
      <c r="V63" s="10">
        <v>42432</v>
      </c>
      <c r="W63" s="9">
        <v>4707.419922</v>
      </c>
      <c r="X63" s="11">
        <f t="shared" si="24"/>
        <v>8.5044500944731936E-4</v>
      </c>
      <c r="Y63" s="9">
        <f t="shared" si="6"/>
        <v>95.41802659895049</v>
      </c>
      <c r="Z63" s="9">
        <f t="shared" si="7"/>
        <v>0.35041051979860638</v>
      </c>
      <c r="AA63" s="9">
        <f t="shared" si="25"/>
        <v>-31.989617485854094</v>
      </c>
      <c r="AB63" s="9"/>
      <c r="AC63" s="10">
        <v>42620</v>
      </c>
      <c r="AD63" s="9">
        <v>5283.9301759999998</v>
      </c>
      <c r="AE63" s="11">
        <f t="shared" si="26"/>
        <v>1.5201206546095573E-3</v>
      </c>
      <c r="AF63" s="9">
        <f t="shared" si="8"/>
        <v>109.2350801102636</v>
      </c>
      <c r="AG63" s="9">
        <f t="shared" si="9"/>
        <v>0.90405631804257136</v>
      </c>
      <c r="AH63" s="9">
        <f t="shared" si="27"/>
        <v>-88.979359378725107</v>
      </c>
      <c r="AI63" s="9"/>
      <c r="AJ63" s="10">
        <v>42809</v>
      </c>
      <c r="AK63" s="9">
        <v>5900.0498049999997</v>
      </c>
      <c r="AL63" s="11">
        <f t="shared" si="28"/>
        <v>7.3811355478022806E-3</v>
      </c>
      <c r="AM63" s="9">
        <f t="shared" si="10"/>
        <v>108.30906905436102</v>
      </c>
      <c r="AN63" s="9">
        <f t="shared" si="11"/>
        <v>0.9475712900794262</v>
      </c>
      <c r="AO63" s="9">
        <f t="shared" si="29"/>
        <v>-93.580156463902767</v>
      </c>
      <c r="AP63" s="9"/>
      <c r="AQ63" s="10">
        <v>42997</v>
      </c>
      <c r="AR63" s="9">
        <v>6461.3198240000002</v>
      </c>
      <c r="AS63" s="11">
        <f t="shared" si="30"/>
        <v>1.0348659039424665E-3</v>
      </c>
      <c r="AT63" s="9">
        <f t="shared" si="12"/>
        <v>105.22602535455718</v>
      </c>
      <c r="AU63" s="9">
        <f t="shared" si="13"/>
        <v>0.86025777864331177</v>
      </c>
      <c r="AV63" s="9">
        <f t="shared" si="31"/>
        <v>-84.583065221524734</v>
      </c>
      <c r="AW63" s="9"/>
      <c r="AX63" s="10">
        <v>43186</v>
      </c>
      <c r="AY63" s="9">
        <v>7008.8100590000004</v>
      </c>
      <c r="AZ63" s="11">
        <f t="shared" si="32"/>
        <v>-2.9323288681510219E-2</v>
      </c>
      <c r="BA63" s="9">
        <f t="shared" si="14"/>
        <v>98.20992188191714</v>
      </c>
      <c r="BB63" s="9">
        <f t="shared" si="15"/>
        <v>0.46585996542568003</v>
      </c>
      <c r="BC63" s="9">
        <f t="shared" si="33"/>
        <v>-43.01197884198973</v>
      </c>
      <c r="BD63" s="9"/>
      <c r="BE63" s="10">
        <v>43374</v>
      </c>
      <c r="BF63" s="9">
        <v>8037.2998049999997</v>
      </c>
      <c r="BG63" s="11">
        <f t="shared" si="34"/>
        <v>-1.1247699751779105E-3</v>
      </c>
      <c r="BH63" s="9">
        <f t="shared" si="16"/>
        <v>102.70023467399669</v>
      </c>
      <c r="BI63" s="9">
        <f t="shared" si="17"/>
        <v>0.61934630078925168</v>
      </c>
      <c r="BJ63" s="9">
        <f t="shared" si="35"/>
        <v>-55.29212975440548</v>
      </c>
    </row>
    <row r="64" spans="1:62" x14ac:dyDescent="0.3">
      <c r="A64" s="10">
        <v>41866</v>
      </c>
      <c r="B64" s="9">
        <v>4464.9301759999998</v>
      </c>
      <c r="C64" s="11">
        <f t="shared" si="18"/>
        <v>2.6791322703794852E-3</v>
      </c>
      <c r="D64" s="9">
        <f t="shared" si="0"/>
        <v>105.67681780160569</v>
      </c>
      <c r="E64" s="9">
        <f t="shared" si="1"/>
        <v>0.82202789472174143</v>
      </c>
      <c r="F64" s="9">
        <f t="shared" si="19"/>
        <v>-79.846452163450721</v>
      </c>
      <c r="G64" s="9"/>
      <c r="H64" s="10">
        <v>42058</v>
      </c>
      <c r="I64" s="9">
        <v>4960.9702150000003</v>
      </c>
      <c r="J64" s="11">
        <f t="shared" si="20"/>
        <v>1.0088841908021838E-3</v>
      </c>
      <c r="K64" s="9">
        <f t="shared" si="2"/>
        <v>104.94188313023056</v>
      </c>
      <c r="L64" s="9">
        <f t="shared" si="3"/>
        <v>0.77371457208583005</v>
      </c>
      <c r="M64" s="9">
        <f t="shared" si="21"/>
        <v>-74.974593624711602</v>
      </c>
      <c r="N64" s="9"/>
      <c r="O64" s="10">
        <v>42243</v>
      </c>
      <c r="P64" s="9">
        <v>4812.7099609999996</v>
      </c>
      <c r="Q64" s="11">
        <f t="shared" si="22"/>
        <v>2.4517070859180201E-2</v>
      </c>
      <c r="R64" s="9">
        <f t="shared" si="4"/>
        <v>95.987926465866195</v>
      </c>
      <c r="S64" s="9">
        <f t="shared" si="5"/>
        <v>0.38176946966853342</v>
      </c>
      <c r="T64" s="9">
        <f t="shared" si="23"/>
        <v>-34.317673453344938</v>
      </c>
      <c r="U64" s="9"/>
      <c r="V64" s="10">
        <v>42433</v>
      </c>
      <c r="W64" s="9">
        <v>4717.0200199999999</v>
      </c>
      <c r="X64" s="11">
        <f t="shared" si="24"/>
        <v>2.0393544997194938E-3</v>
      </c>
      <c r="Y64" s="9">
        <f t="shared" si="6"/>
        <v>95.612617780849405</v>
      </c>
      <c r="Z64" s="9">
        <f t="shared" si="7"/>
        <v>0.35715394120024108</v>
      </c>
      <c r="AA64" s="9">
        <f t="shared" si="25"/>
        <v>-32.635688327691831</v>
      </c>
      <c r="AB64" s="9"/>
      <c r="AC64" s="10">
        <v>42621</v>
      </c>
      <c r="AD64" s="9">
        <v>5259.4799800000001</v>
      </c>
      <c r="AE64" s="11">
        <f t="shared" si="26"/>
        <v>-4.6272746205190916E-3</v>
      </c>
      <c r="AF64" s="9">
        <f t="shared" si="8"/>
        <v>108.729619396399</v>
      </c>
      <c r="AG64" s="9">
        <f t="shared" si="9"/>
        <v>0.89371936525345164</v>
      </c>
      <c r="AH64" s="9">
        <f t="shared" si="27"/>
        <v>-87.859083197385843</v>
      </c>
      <c r="AI64" s="9"/>
      <c r="AJ64" s="10">
        <v>42810</v>
      </c>
      <c r="AK64" s="9">
        <v>5900.7597660000001</v>
      </c>
      <c r="AL64" s="11">
        <f t="shared" si="28"/>
        <v>1.2033135710122635E-4</v>
      </c>
      <c r="AM64" s="9">
        <f t="shared" si="10"/>
        <v>108.32210203162671</v>
      </c>
      <c r="AN64" s="9">
        <f t="shared" si="11"/>
        <v>0.94852429121786264</v>
      </c>
      <c r="AO64" s="9">
        <f t="shared" si="29"/>
        <v>-93.687233389334949</v>
      </c>
      <c r="AP64" s="9"/>
      <c r="AQ64" s="10">
        <v>42998</v>
      </c>
      <c r="AR64" s="9">
        <v>6456.0400390000004</v>
      </c>
      <c r="AS64" s="11">
        <f t="shared" si="30"/>
        <v>-8.1713723261127335E-4</v>
      </c>
      <c r="AT64" s="9">
        <f t="shared" si="12"/>
        <v>105.14004125140026</v>
      </c>
      <c r="AU64" s="9">
        <f t="shared" si="13"/>
        <v>0.85766152235027504</v>
      </c>
      <c r="AV64" s="9">
        <f t="shared" si="31"/>
        <v>-84.313570815580576</v>
      </c>
      <c r="AW64" s="9"/>
      <c r="AX64" s="10">
        <v>43187</v>
      </c>
      <c r="AY64" s="9">
        <v>6949.2299800000001</v>
      </c>
      <c r="AZ64" s="11">
        <f t="shared" si="32"/>
        <v>-8.5007409957548533E-3</v>
      </c>
      <c r="BA64" s="9">
        <f t="shared" si="14"/>
        <v>97.375064772785649</v>
      </c>
      <c r="BB64" s="9">
        <f t="shared" si="15"/>
        <v>0.43160406306297233</v>
      </c>
      <c r="BC64" s="9">
        <f t="shared" si="33"/>
        <v>-39.678075782461057</v>
      </c>
      <c r="BD64" s="9"/>
      <c r="BE64" s="10">
        <v>43375</v>
      </c>
      <c r="BF64" s="9">
        <v>7999.5498049999997</v>
      </c>
      <c r="BG64" s="11">
        <f t="shared" si="34"/>
        <v>-4.6968510464815245E-3</v>
      </c>
      <c r="BH64" s="9">
        <f t="shared" si="16"/>
        <v>102.21786696929422</v>
      </c>
      <c r="BI64" s="9">
        <f t="shared" si="17"/>
        <v>0.60562866132298354</v>
      </c>
      <c r="BJ64" s="9">
        <f t="shared" si="35"/>
        <v>-53.892214234306024</v>
      </c>
    </row>
    <row r="65" spans="1:62" x14ac:dyDescent="0.3">
      <c r="A65" s="10">
        <v>41869</v>
      </c>
      <c r="B65" s="9">
        <v>4508.3100590000004</v>
      </c>
      <c r="C65" s="11">
        <f t="shared" si="18"/>
        <v>9.7156912404088892E-3</v>
      </c>
      <c r="D65" s="9">
        <f t="shared" si="0"/>
        <v>106.70354113463505</v>
      </c>
      <c r="E65" s="9">
        <f t="shared" si="1"/>
        <v>0.86001024289082073</v>
      </c>
      <c r="F65" s="9">
        <f t="shared" si="19"/>
        <v>-83.909147903695541</v>
      </c>
      <c r="G65" s="9"/>
      <c r="H65" s="10">
        <v>42059</v>
      </c>
      <c r="I65" s="9">
        <v>4968.1201170000004</v>
      </c>
      <c r="J65" s="11">
        <f t="shared" si="20"/>
        <v>1.4412305839655421E-3</v>
      </c>
      <c r="K65" s="9">
        <f t="shared" si="2"/>
        <v>105.09312858173681</v>
      </c>
      <c r="L65" s="9">
        <f t="shared" si="3"/>
        <v>0.78038560933558732</v>
      </c>
      <c r="M65" s="9">
        <f t="shared" si="21"/>
        <v>-75.678755011169216</v>
      </c>
      <c r="N65" s="9"/>
      <c r="O65" s="10">
        <v>42244</v>
      </c>
      <c r="P65" s="9">
        <v>4828.3198240000002</v>
      </c>
      <c r="Q65" s="11">
        <f t="shared" si="22"/>
        <v>3.2434663893099267E-3</v>
      </c>
      <c r="R65" s="9">
        <f t="shared" si="4"/>
        <v>96.299260079137781</v>
      </c>
      <c r="S65" s="9">
        <f t="shared" si="5"/>
        <v>0.39287184971951211</v>
      </c>
      <c r="T65" s="9">
        <f t="shared" si="23"/>
        <v>-35.388234781698436</v>
      </c>
      <c r="U65" s="9"/>
      <c r="V65" s="10">
        <v>42436</v>
      </c>
      <c r="W65" s="9">
        <v>4708.25</v>
      </c>
      <c r="X65" s="11">
        <f t="shared" si="24"/>
        <v>-1.8592289120706194E-3</v>
      </c>
      <c r="Y65" s="9">
        <f t="shared" si="6"/>
        <v>95.434852037512499</v>
      </c>
      <c r="Z65" s="9">
        <f t="shared" si="7"/>
        <v>0.34699791981951211</v>
      </c>
      <c r="AA65" s="9">
        <f t="shared" si="25"/>
        <v>-31.670473755984133</v>
      </c>
      <c r="AB65" s="9"/>
      <c r="AC65" s="10">
        <v>42622</v>
      </c>
      <c r="AD65" s="9">
        <v>5125.9101559999999</v>
      </c>
      <c r="AE65" s="11">
        <f t="shared" si="26"/>
        <v>-2.5396013390662275E-2</v>
      </c>
      <c r="AF65" s="9">
        <f t="shared" si="8"/>
        <v>105.96832052624643</v>
      </c>
      <c r="AG65" s="9">
        <f t="shared" si="9"/>
        <v>0.81489003564378637</v>
      </c>
      <c r="AH65" s="9">
        <f t="shared" si="27"/>
        <v>-79.509282251886788</v>
      </c>
      <c r="AI65" s="9"/>
      <c r="AJ65" s="10">
        <v>42811</v>
      </c>
      <c r="AK65" s="9">
        <v>5901</v>
      </c>
      <c r="AL65" s="11">
        <f t="shared" si="28"/>
        <v>4.0712384426170698E-5</v>
      </c>
      <c r="AM65" s="9">
        <f t="shared" si="10"/>
        <v>108.32651208268646</v>
      </c>
      <c r="AN65" s="9">
        <f t="shared" si="11"/>
        <v>0.94931763135792646</v>
      </c>
      <c r="AO65" s="9">
        <f t="shared" si="29"/>
        <v>-93.777023398993492</v>
      </c>
      <c r="AP65" s="9"/>
      <c r="AQ65" s="10">
        <v>42999</v>
      </c>
      <c r="AR65" s="9">
        <v>6422.6899409999996</v>
      </c>
      <c r="AS65" s="11">
        <f t="shared" si="30"/>
        <v>-5.16572044140645E-3</v>
      </c>
      <c r="AT65" s="9">
        <f t="shared" si="12"/>
        <v>104.5969171910976</v>
      </c>
      <c r="AU65" s="9">
        <f t="shared" si="13"/>
        <v>0.83502566774819664</v>
      </c>
      <c r="AV65" s="9">
        <f t="shared" si="31"/>
        <v>-81.949395218682042</v>
      </c>
      <c r="AW65" s="9"/>
      <c r="AX65" s="10">
        <v>43188</v>
      </c>
      <c r="AY65" s="9">
        <v>7063.4501950000003</v>
      </c>
      <c r="AZ65" s="11">
        <f t="shared" si="32"/>
        <v>1.6436384366142431E-2</v>
      </c>
      <c r="BA65" s="9">
        <f t="shared" si="14"/>
        <v>98.975558765069167</v>
      </c>
      <c r="BB65" s="9">
        <f t="shared" si="15"/>
        <v>0.49589766431669641</v>
      </c>
      <c r="BC65" s="9">
        <f t="shared" si="33"/>
        <v>-46.043201530927078</v>
      </c>
      <c r="BD65" s="9"/>
      <c r="BE65" s="10">
        <v>43376</v>
      </c>
      <c r="BF65" s="9">
        <v>8025.0898440000001</v>
      </c>
      <c r="BG65" s="11">
        <f t="shared" si="34"/>
        <v>3.1926845413271896E-3</v>
      </c>
      <c r="BH65" s="9">
        <f t="shared" si="16"/>
        <v>102.54421637301454</v>
      </c>
      <c r="BI65" s="9">
        <f t="shared" si="17"/>
        <v>0.61523143167375027</v>
      </c>
      <c r="BJ65" s="9">
        <f t="shared" si="35"/>
        <v>-54.879137588974743</v>
      </c>
    </row>
    <row r="66" spans="1:62" x14ac:dyDescent="0.3">
      <c r="A66" s="10">
        <v>41870</v>
      </c>
      <c r="B66" s="9">
        <v>4527.5097660000001</v>
      </c>
      <c r="C66" s="11">
        <f t="shared" si="18"/>
        <v>4.258737031999635E-3</v>
      </c>
      <c r="D66" s="9">
        <f t="shared" si="0"/>
        <v>107.1579634567106</v>
      </c>
      <c r="E66" s="9">
        <f t="shared" si="1"/>
        <v>0.87482614826444949</v>
      </c>
      <c r="F66" s="9">
        <f t="shared" si="19"/>
        <v>-85.500238542304544</v>
      </c>
      <c r="G66" s="9"/>
      <c r="H66" s="10">
        <v>42060</v>
      </c>
      <c r="I66" s="9">
        <v>4967.1401370000003</v>
      </c>
      <c r="J66" s="11">
        <f t="shared" si="20"/>
        <v>-1.9725368487906643E-4</v>
      </c>
      <c r="K66" s="9">
        <f t="shared" si="2"/>
        <v>105.07239857486859</v>
      </c>
      <c r="L66" s="9">
        <f t="shared" si="3"/>
        <v>0.78042125818815955</v>
      </c>
      <c r="M66" s="9">
        <f t="shared" si="21"/>
        <v>-75.685610871344537</v>
      </c>
      <c r="N66" s="9"/>
      <c r="O66" s="10">
        <v>42247</v>
      </c>
      <c r="P66" s="9">
        <v>4776.5097660000001</v>
      </c>
      <c r="Q66" s="11">
        <f t="shared" si="22"/>
        <v>-1.0730452805232403E-2</v>
      </c>
      <c r="R66" s="9">
        <f t="shared" si="4"/>
        <v>95.265925413679795</v>
      </c>
      <c r="S66" s="9">
        <f t="shared" si="5"/>
        <v>0.35030446177048358</v>
      </c>
      <c r="T66" s="9">
        <f t="shared" si="23"/>
        <v>-31.337376378305372</v>
      </c>
      <c r="U66" s="9"/>
      <c r="V66" s="10">
        <v>42437</v>
      </c>
      <c r="W66" s="9">
        <v>4648.8198240000002</v>
      </c>
      <c r="X66" s="11">
        <f t="shared" si="24"/>
        <v>-1.2622561673657908E-2</v>
      </c>
      <c r="Y66" s="9">
        <f t="shared" si="6"/>
        <v>94.230219731852586</v>
      </c>
      <c r="Z66" s="9">
        <f t="shared" si="7"/>
        <v>0.29846569545574375</v>
      </c>
      <c r="AA66" s="9">
        <f t="shared" si="25"/>
        <v>-27.098573143173468</v>
      </c>
      <c r="AB66" s="9"/>
      <c r="AC66" s="10">
        <v>42625</v>
      </c>
      <c r="AD66" s="9">
        <v>5211.8901370000003</v>
      </c>
      <c r="AE66" s="11">
        <f t="shared" si="26"/>
        <v>1.6773602810685004E-2</v>
      </c>
      <c r="AF66" s="9">
        <f t="shared" si="8"/>
        <v>107.74579104526904</v>
      </c>
      <c r="AG66" s="9">
        <f t="shared" si="9"/>
        <v>0.87285332561132667</v>
      </c>
      <c r="AH66" s="9">
        <f t="shared" si="27"/>
        <v>-85.764385899565369</v>
      </c>
      <c r="AI66" s="9"/>
      <c r="AJ66" s="10">
        <v>42814</v>
      </c>
      <c r="AK66" s="9">
        <v>5901.5297849999997</v>
      </c>
      <c r="AL66" s="11">
        <f t="shared" si="28"/>
        <v>8.9778851042148747E-5</v>
      </c>
      <c r="AM66" s="9">
        <f t="shared" si="10"/>
        <v>108.33623751247865</v>
      </c>
      <c r="AN66" s="9">
        <f t="shared" si="11"/>
        <v>0.95164430622692975</v>
      </c>
      <c r="AO66" s="9">
        <f t="shared" si="29"/>
        <v>-94.040648863773797</v>
      </c>
      <c r="AP66" s="9"/>
      <c r="AQ66" s="10">
        <v>43000</v>
      </c>
      <c r="AR66" s="9">
        <v>6426.919922</v>
      </c>
      <c r="AS66" s="11">
        <f t="shared" si="30"/>
        <v>6.5859959594154215E-4</v>
      </c>
      <c r="AT66" s="9">
        <f t="shared" si="12"/>
        <v>104.66580467849637</v>
      </c>
      <c r="AU66" s="9">
        <f t="shared" si="13"/>
        <v>0.83905492272348425</v>
      </c>
      <c r="AV66" s="9">
        <f t="shared" si="31"/>
        <v>-82.374488285492475</v>
      </c>
      <c r="AW66" s="9"/>
      <c r="AX66" s="10">
        <v>43192</v>
      </c>
      <c r="AY66" s="9">
        <v>6870.1201170000004</v>
      </c>
      <c r="AZ66" s="11">
        <f t="shared" si="32"/>
        <v>-2.7370487886621241E-2</v>
      </c>
      <c r="BA66" s="9">
        <f t="shared" si="14"/>
        <v>96.266549432818266</v>
      </c>
      <c r="BB66" s="9">
        <f t="shared" si="15"/>
        <v>0.38275404845476924</v>
      </c>
      <c r="BC66" s="9">
        <f t="shared" si="33"/>
        <v>-35.158825409126955</v>
      </c>
      <c r="BD66" s="9"/>
      <c r="BE66" s="10">
        <v>43377</v>
      </c>
      <c r="BF66" s="9">
        <v>7879.5097660000001</v>
      </c>
      <c r="BG66" s="11">
        <f t="shared" si="34"/>
        <v>-1.8140616594946118E-2</v>
      </c>
      <c r="BH66" s="9">
        <f t="shared" si="16"/>
        <v>100.68400105976249</v>
      </c>
      <c r="BI66" s="9">
        <f t="shared" si="17"/>
        <v>0.55996933411888916</v>
      </c>
      <c r="BJ66" s="9">
        <f t="shared" si="35"/>
        <v>-49.317383853563165</v>
      </c>
    </row>
    <row r="67" spans="1:62" x14ac:dyDescent="0.3">
      <c r="A67" s="10">
        <v>41871</v>
      </c>
      <c r="B67" s="9">
        <v>4526.4799800000001</v>
      </c>
      <c r="C67" s="11">
        <f t="shared" si="18"/>
        <v>-2.2745086222306744E-4</v>
      </c>
      <c r="D67" s="9">
        <f t="shared" si="0"/>
        <v>107.13359028552831</v>
      </c>
      <c r="E67" s="9">
        <f t="shared" si="1"/>
        <v>0.87509255623665383</v>
      </c>
      <c r="F67" s="9">
        <f t="shared" si="19"/>
        <v>-85.532293565481197</v>
      </c>
      <c r="G67" s="9"/>
      <c r="H67" s="10">
        <v>42061</v>
      </c>
      <c r="I67" s="9">
        <v>4987.8901370000003</v>
      </c>
      <c r="J67" s="11">
        <f t="shared" si="20"/>
        <v>4.1774541139747998E-3</v>
      </c>
      <c r="K67" s="9">
        <f t="shared" si="2"/>
        <v>105.51133369856036</v>
      </c>
      <c r="L67" s="9">
        <f t="shared" si="3"/>
        <v>0.79785167793088385</v>
      </c>
      <c r="M67" s="9">
        <f t="shared" si="21"/>
        <v>-77.52782813680767</v>
      </c>
      <c r="N67" s="9"/>
      <c r="O67" s="10">
        <v>42248</v>
      </c>
      <c r="P67" s="9">
        <v>4636.1000979999999</v>
      </c>
      <c r="Q67" s="11">
        <f t="shared" si="22"/>
        <v>-2.9395871646585938E-2</v>
      </c>
      <c r="R67" s="9">
        <f t="shared" si="4"/>
        <v>92.46550049792603</v>
      </c>
      <c r="S67" s="9">
        <f t="shared" si="5"/>
        <v>0.24770183509926957</v>
      </c>
      <c r="T67" s="9">
        <f t="shared" si="23"/>
        <v>-21.851461014597895</v>
      </c>
      <c r="U67" s="9"/>
      <c r="V67" s="10">
        <v>42438</v>
      </c>
      <c r="W67" s="9">
        <v>4674.3798829999996</v>
      </c>
      <c r="X67" s="11">
        <f t="shared" si="24"/>
        <v>5.4981823274894582E-3</v>
      </c>
      <c r="Y67" s="9">
        <f t="shared" si="6"/>
        <v>94.748314660697702</v>
      </c>
      <c r="Z67" s="9">
        <f t="shared" si="7"/>
        <v>0.31743947017331497</v>
      </c>
      <c r="AA67" s="9">
        <f t="shared" si="25"/>
        <v>-28.897419983290607</v>
      </c>
      <c r="AB67" s="9"/>
      <c r="AC67" s="10">
        <v>42626</v>
      </c>
      <c r="AD67" s="9">
        <v>5155.25</v>
      </c>
      <c r="AE67" s="11">
        <f t="shared" si="26"/>
        <v>-1.086748483010096E-2</v>
      </c>
      <c r="AF67" s="9">
        <f t="shared" si="8"/>
        <v>106.57486529557735</v>
      </c>
      <c r="AG67" s="9">
        <f t="shared" si="9"/>
        <v>0.83908705298603858</v>
      </c>
      <c r="AH67" s="9">
        <f t="shared" si="27"/>
        <v>-82.169274579219177</v>
      </c>
      <c r="AI67" s="9"/>
      <c r="AJ67" s="10">
        <v>42815</v>
      </c>
      <c r="AK67" s="9">
        <v>5793.830078</v>
      </c>
      <c r="AL67" s="11">
        <f t="shared" si="28"/>
        <v>-1.8249455806143962E-2</v>
      </c>
      <c r="AM67" s="9">
        <f t="shared" si="10"/>
        <v>106.35916013379077</v>
      </c>
      <c r="AN67" s="9">
        <f t="shared" si="11"/>
        <v>0.90470567871891139</v>
      </c>
      <c r="AO67" s="9">
        <f t="shared" si="29"/>
        <v>-89.052160627800404</v>
      </c>
      <c r="AP67" s="9"/>
      <c r="AQ67" s="10">
        <v>43003</v>
      </c>
      <c r="AR67" s="9">
        <v>6370.5898440000001</v>
      </c>
      <c r="AS67" s="11">
        <f t="shared" si="30"/>
        <v>-8.7647082402841792E-3</v>
      </c>
      <c r="AT67" s="9">
        <f t="shared" si="12"/>
        <v>103.7484394377548</v>
      </c>
      <c r="AU67" s="9">
        <f t="shared" si="13"/>
        <v>0.79650989430909802</v>
      </c>
      <c r="AV67" s="9">
        <f t="shared" si="31"/>
        <v>-77.970664366560356</v>
      </c>
      <c r="AW67" s="9"/>
      <c r="AX67" s="10">
        <v>43193</v>
      </c>
      <c r="AY67" s="9">
        <v>6941.2797849999997</v>
      </c>
      <c r="AZ67" s="11">
        <f t="shared" si="32"/>
        <v>1.0357849177034894E-2</v>
      </c>
      <c r="BA67" s="9">
        <f t="shared" si="14"/>
        <v>97.263663832636979</v>
      </c>
      <c r="BB67" s="9">
        <f t="shared" si="15"/>
        <v>0.42284640219725111</v>
      </c>
      <c r="BC67" s="9">
        <f t="shared" si="33"/>
        <v>-39.059799538720654</v>
      </c>
      <c r="BD67" s="9"/>
      <c r="BE67" s="10">
        <v>43378</v>
      </c>
      <c r="BF67" s="9">
        <v>7788.4501950000003</v>
      </c>
      <c r="BG67" s="11">
        <f t="shared" si="34"/>
        <v>-1.1556502079979753E-2</v>
      </c>
      <c r="BH67" s="9">
        <f t="shared" si="16"/>
        <v>99.520446192094653</v>
      </c>
      <c r="BI67" s="9">
        <f t="shared" si="17"/>
        <v>0.52381709129924814</v>
      </c>
      <c r="BJ67" s="9">
        <f t="shared" si="35"/>
        <v>-45.721523300755685</v>
      </c>
    </row>
    <row r="68" spans="1:62" x14ac:dyDescent="0.3">
      <c r="A68" s="10">
        <v>41872</v>
      </c>
      <c r="B68" s="9">
        <v>4532.1000979999999</v>
      </c>
      <c r="C68" s="11">
        <f t="shared" si="18"/>
        <v>1.2416089378130466E-3</v>
      </c>
      <c r="D68" s="9">
        <f t="shared" si="0"/>
        <v>107.26660830876682</v>
      </c>
      <c r="E68" s="9">
        <f t="shared" si="1"/>
        <v>0.8799493460933947</v>
      </c>
      <c r="F68" s="9">
        <f t="shared" si="19"/>
        <v>-86.056780038672713</v>
      </c>
      <c r="G68" s="9"/>
      <c r="H68" s="10">
        <v>42062</v>
      </c>
      <c r="I68" s="9">
        <v>4963.5297849999997</v>
      </c>
      <c r="J68" s="11">
        <f t="shared" si="20"/>
        <v>-4.8838990697281674E-3</v>
      </c>
      <c r="K68" s="9">
        <f t="shared" si="2"/>
        <v>104.99602699406418</v>
      </c>
      <c r="L68" s="9">
        <f t="shared" si="3"/>
        <v>0.77914460369286542</v>
      </c>
      <c r="M68" s="9">
        <f t="shared" si="21"/>
        <v>-75.566845805729812</v>
      </c>
      <c r="N68" s="9"/>
      <c r="O68" s="10">
        <v>42249</v>
      </c>
      <c r="P68" s="9">
        <v>4749.9799800000001</v>
      </c>
      <c r="Q68" s="11">
        <f t="shared" si="22"/>
        <v>2.4563723731747644E-2</v>
      </c>
      <c r="R68" s="9">
        <f t="shared" si="4"/>
        <v>94.736797506874865</v>
      </c>
      <c r="S68" s="9">
        <f t="shared" si="5"/>
        <v>0.32800369436201676</v>
      </c>
      <c r="T68" s="9">
        <f t="shared" si="23"/>
        <v>-29.459900018697926</v>
      </c>
      <c r="U68" s="9"/>
      <c r="V68" s="10">
        <v>42439</v>
      </c>
      <c r="W68" s="9">
        <v>4662.1601559999999</v>
      </c>
      <c r="X68" s="11">
        <f t="shared" si="24"/>
        <v>-2.6141921080143613E-3</v>
      </c>
      <c r="Y68" s="9">
        <f t="shared" si="6"/>
        <v>94.500624364264041</v>
      </c>
      <c r="Z68" s="9">
        <f t="shared" si="7"/>
        <v>0.30651234396988103</v>
      </c>
      <c r="AA68" s="9">
        <f t="shared" si="25"/>
        <v>-27.865987324166138</v>
      </c>
      <c r="AB68" s="9"/>
      <c r="AC68" s="10">
        <v>42627</v>
      </c>
      <c r="AD68" s="9">
        <v>5173.7700199999999</v>
      </c>
      <c r="AE68" s="11">
        <f t="shared" si="26"/>
        <v>3.5924581737064023E-3</v>
      </c>
      <c r="AF68" s="9">
        <f t="shared" si="8"/>
        <v>106.95773104152013</v>
      </c>
      <c r="AG68" s="9">
        <f t="shared" si="9"/>
        <v>0.85213500652647745</v>
      </c>
      <c r="AH68" s="9">
        <f t="shared" si="27"/>
        <v>-83.568230973530589</v>
      </c>
      <c r="AI68" s="9"/>
      <c r="AJ68" s="10">
        <v>42816</v>
      </c>
      <c r="AK68" s="9">
        <v>5821.6401370000003</v>
      </c>
      <c r="AL68" s="11">
        <f t="shared" si="28"/>
        <v>4.7999438412250177E-3</v>
      </c>
      <c r="AM68" s="9">
        <f t="shared" si="10"/>
        <v>106.86967812943283</v>
      </c>
      <c r="AN68" s="9">
        <f t="shared" si="11"/>
        <v>0.92047582306373821</v>
      </c>
      <c r="AO68" s="9">
        <f t="shared" si="29"/>
        <v>-90.741170631020637</v>
      </c>
      <c r="AP68" s="9"/>
      <c r="AQ68" s="10">
        <v>43004</v>
      </c>
      <c r="AR68" s="9">
        <v>6380.1601559999999</v>
      </c>
      <c r="AS68" s="11">
        <f t="shared" si="30"/>
        <v>1.5022646621981823E-3</v>
      </c>
      <c r="AT68" s="9">
        <f t="shared" si="12"/>
        <v>103.90429705208032</v>
      </c>
      <c r="AU68" s="9">
        <f t="shared" si="13"/>
        <v>0.80562925910414274</v>
      </c>
      <c r="AV68" s="9">
        <f t="shared" si="31"/>
        <v>-78.921409894871175</v>
      </c>
      <c r="AW68" s="9"/>
      <c r="AX68" s="10">
        <v>43194</v>
      </c>
      <c r="AY68" s="9">
        <v>7042.1098629999997</v>
      </c>
      <c r="AZ68" s="11">
        <f t="shared" si="32"/>
        <v>1.452615095819826E-2</v>
      </c>
      <c r="BA68" s="9">
        <f t="shared" si="14"/>
        <v>98.676530496217325</v>
      </c>
      <c r="BB68" s="9">
        <f t="shared" si="15"/>
        <v>0.48111192432578248</v>
      </c>
      <c r="BC68" s="9">
        <f t="shared" si="33"/>
        <v>-44.81084434013998</v>
      </c>
      <c r="BD68" s="9"/>
      <c r="BE68" s="10">
        <v>43381</v>
      </c>
      <c r="BF68" s="9">
        <v>7735.9501950000003</v>
      </c>
      <c r="BG68" s="11">
        <f t="shared" si="34"/>
        <v>-6.7407505582694422E-3</v>
      </c>
      <c r="BH68" s="9">
        <f t="shared" si="16"/>
        <v>98.849603688866068</v>
      </c>
      <c r="BI68" s="9">
        <f t="shared" si="17"/>
        <v>0.50162364425331651</v>
      </c>
      <c r="BJ68" s="9">
        <f t="shared" si="35"/>
        <v>-43.533347103402903</v>
      </c>
    </row>
    <row r="69" spans="1:62" x14ac:dyDescent="0.3">
      <c r="A69" s="10">
        <v>41873</v>
      </c>
      <c r="B69" s="9">
        <v>4538.5498049999997</v>
      </c>
      <c r="C69" s="11">
        <f t="shared" si="18"/>
        <v>1.4231166259646374E-3</v>
      </c>
      <c r="D69" s="9">
        <f t="shared" si="0"/>
        <v>107.41926120246188</v>
      </c>
      <c r="E69" s="9">
        <f t="shared" si="1"/>
        <v>0.88526888141896343</v>
      </c>
      <c r="F69" s="9">
        <f t="shared" si="19"/>
        <v>-86.631737245957723</v>
      </c>
      <c r="G69" s="9"/>
      <c r="H69" s="10">
        <v>42065</v>
      </c>
      <c r="I69" s="9">
        <v>5008.1000979999999</v>
      </c>
      <c r="J69" s="11">
        <f t="shared" si="20"/>
        <v>8.9795598960025532E-3</v>
      </c>
      <c r="K69" s="9">
        <f t="shared" si="2"/>
        <v>105.9388451072997</v>
      </c>
      <c r="L69" s="9">
        <f t="shared" si="3"/>
        <v>0.81699013191011516</v>
      </c>
      <c r="M69" s="9">
        <f t="shared" si="21"/>
        <v>-79.585474392308754</v>
      </c>
      <c r="N69" s="9"/>
      <c r="O69" s="10">
        <v>42250</v>
      </c>
      <c r="P69" s="9">
        <v>4733.5</v>
      </c>
      <c r="Q69" s="11">
        <f t="shared" si="22"/>
        <v>-3.4694840966466704E-3</v>
      </c>
      <c r="R69" s="9">
        <f t="shared" si="4"/>
        <v>94.408109694557524</v>
      </c>
      <c r="S69" s="9">
        <f t="shared" si="5"/>
        <v>0.31445440799203528</v>
      </c>
      <c r="T69" s="9">
        <f t="shared" si="23"/>
        <v>-28.181948210497769</v>
      </c>
      <c r="U69" s="9"/>
      <c r="V69" s="10">
        <v>42440</v>
      </c>
      <c r="W69" s="9">
        <v>4748.4702150000003</v>
      </c>
      <c r="X69" s="11">
        <f t="shared" si="24"/>
        <v>1.8512890186520733E-2</v>
      </c>
      <c r="Y69" s="9">
        <f t="shared" si="6"/>
        <v>96.250104045677304</v>
      </c>
      <c r="Z69" s="9">
        <f t="shared" si="7"/>
        <v>0.37639656801193233</v>
      </c>
      <c r="AA69" s="9">
        <f t="shared" si="25"/>
        <v>-34.593496360457635</v>
      </c>
      <c r="AB69" s="9"/>
      <c r="AC69" s="10">
        <v>42628</v>
      </c>
      <c r="AD69" s="9">
        <v>5249.6899409999996</v>
      </c>
      <c r="AE69" s="11">
        <f t="shared" si="26"/>
        <v>1.467400381279408E-2</v>
      </c>
      <c r="AF69" s="9">
        <f t="shared" si="8"/>
        <v>108.5272291946312</v>
      </c>
      <c r="AG69" s="9">
        <f t="shared" si="9"/>
        <v>0.89572764220745138</v>
      </c>
      <c r="AH69" s="9">
        <f t="shared" si="27"/>
        <v>-88.302653318708622</v>
      </c>
      <c r="AI69" s="9"/>
      <c r="AJ69" s="10">
        <v>42817</v>
      </c>
      <c r="AK69" s="9">
        <v>5817.6899409999996</v>
      </c>
      <c r="AL69" s="11">
        <f t="shared" si="28"/>
        <v>-6.7853661632137521E-4</v>
      </c>
      <c r="AM69" s="9">
        <f t="shared" si="10"/>
        <v>106.79716313964751</v>
      </c>
      <c r="AN69" s="9">
        <f t="shared" si="11"/>
        <v>0.91939265018161964</v>
      </c>
      <c r="AO69" s="9">
        <f t="shared" si="29"/>
        <v>-90.629220005850755</v>
      </c>
      <c r="AP69" s="9"/>
      <c r="AQ69" s="10">
        <v>43005</v>
      </c>
      <c r="AR69" s="9">
        <v>6453.2597660000001</v>
      </c>
      <c r="AS69" s="11">
        <f t="shared" si="30"/>
        <v>1.1457331510911403E-2</v>
      </c>
      <c r="AT69" s="9">
        <f t="shared" si="12"/>
        <v>105.09476302881424</v>
      </c>
      <c r="AU69" s="9">
        <f t="shared" si="13"/>
        <v>0.86236883984715529</v>
      </c>
      <c r="AV69" s="9">
        <f t="shared" si="31"/>
        <v>-84.887686099669452</v>
      </c>
      <c r="AW69" s="9"/>
      <c r="AX69" s="10">
        <v>43195</v>
      </c>
      <c r="AY69" s="9">
        <v>7076.5498049999997</v>
      </c>
      <c r="AZ69" s="11">
        <f t="shared" si="32"/>
        <v>4.8905715289889358E-3</v>
      </c>
      <c r="BA69" s="9">
        <f t="shared" si="14"/>
        <v>99.159115126841527</v>
      </c>
      <c r="BB69" s="9">
        <f t="shared" si="15"/>
        <v>0.50087339852759771</v>
      </c>
      <c r="BC69" s="9">
        <f t="shared" si="33"/>
        <v>-46.772216214982514</v>
      </c>
      <c r="BD69" s="9"/>
      <c r="BE69" s="10">
        <v>43382</v>
      </c>
      <c r="BF69" s="9">
        <v>7738.0200199999999</v>
      </c>
      <c r="BG69" s="11">
        <f t="shared" si="34"/>
        <v>2.6755924583606787E-4</v>
      </c>
      <c r="BH69" s="9">
        <f t="shared" si="16"/>
        <v>98.87605181428026</v>
      </c>
      <c r="BI69" s="9">
        <f t="shared" si="17"/>
        <v>0.5021024741120319</v>
      </c>
      <c r="BJ69" s="9">
        <f t="shared" si="35"/>
        <v>-43.582480987746884</v>
      </c>
    </row>
    <row r="70" spans="1:62" x14ac:dyDescent="0.3">
      <c r="A70" s="10">
        <v>41876</v>
      </c>
      <c r="B70" s="9">
        <v>4557.3500979999999</v>
      </c>
      <c r="C70" s="11">
        <f t="shared" si="18"/>
        <v>4.1423568778045476E-3</v>
      </c>
      <c r="D70" s="9">
        <f t="shared" si="0"/>
        <v>107.86423011791257</v>
      </c>
      <c r="E70" s="9">
        <f t="shared" si="1"/>
        <v>0.90018024049038892</v>
      </c>
      <c r="F70" s="9">
        <f t="shared" si="19"/>
        <v>-88.250820795770466</v>
      </c>
      <c r="G70" s="9"/>
      <c r="H70" s="10">
        <v>42066</v>
      </c>
      <c r="I70" s="9">
        <v>4979.8999020000001</v>
      </c>
      <c r="J70" s="11">
        <f t="shared" si="20"/>
        <v>-5.6309170040873607E-3</v>
      </c>
      <c r="K70" s="9">
        <f t="shared" si="2"/>
        <v>105.34231226299163</v>
      </c>
      <c r="L70" s="9">
        <f t="shared" si="3"/>
        <v>0.79610639357635515</v>
      </c>
      <c r="M70" s="9">
        <f t="shared" si="21"/>
        <v>-77.388803810674887</v>
      </c>
      <c r="N70" s="9"/>
      <c r="O70" s="10">
        <v>42251</v>
      </c>
      <c r="P70" s="9">
        <v>4683.919922</v>
      </c>
      <c r="Q70" s="11">
        <f t="shared" si="22"/>
        <v>-1.0474295552973478E-2</v>
      </c>
      <c r="R70" s="9">
        <f t="shared" si="4"/>
        <v>93.41925125101919</v>
      </c>
      <c r="S70" s="9">
        <f t="shared" si="5"/>
        <v>0.2768689559720463</v>
      </c>
      <c r="T70" s="9">
        <f t="shared" si="23"/>
        <v>-24.671901610912695</v>
      </c>
      <c r="U70" s="9"/>
      <c r="V70" s="10">
        <v>42443</v>
      </c>
      <c r="W70" s="9">
        <v>4750.2797849999997</v>
      </c>
      <c r="X70" s="11">
        <f t="shared" si="24"/>
        <v>3.8108483744578764E-4</v>
      </c>
      <c r="Y70" s="9">
        <f t="shared" si="6"/>
        <v>96.286783500931691</v>
      </c>
      <c r="Z70" s="9">
        <f t="shared" si="7"/>
        <v>0.37501944395006043</v>
      </c>
      <c r="AA70" s="9">
        <f t="shared" si="25"/>
        <v>-34.465162728583124</v>
      </c>
      <c r="AB70" s="9"/>
      <c r="AC70" s="10">
        <v>42629</v>
      </c>
      <c r="AD70" s="9">
        <v>5244.5698240000002</v>
      </c>
      <c r="AE70" s="11">
        <f t="shared" si="26"/>
        <v>-9.7531798211765702E-4</v>
      </c>
      <c r="AF70" s="9">
        <f t="shared" si="8"/>
        <v>108.42138063644826</v>
      </c>
      <c r="AG70" s="9">
        <f t="shared" si="9"/>
        <v>0.89420135859258532</v>
      </c>
      <c r="AH70" s="9">
        <f t="shared" si="27"/>
        <v>-88.140800492672795</v>
      </c>
      <c r="AI70" s="9"/>
      <c r="AJ70" s="10">
        <v>42818</v>
      </c>
      <c r="AK70" s="9">
        <v>5828.7402339999999</v>
      </c>
      <c r="AL70" s="11">
        <f t="shared" si="28"/>
        <v>1.8994296898024114E-3</v>
      </c>
      <c r="AM70" s="9">
        <f t="shared" si="10"/>
        <v>107.00001684210163</v>
      </c>
      <c r="AN70" s="9">
        <f t="shared" si="11"/>
        <v>0.92573227209781705</v>
      </c>
      <c r="AO70" s="9">
        <f t="shared" si="29"/>
        <v>-91.311284222681451</v>
      </c>
      <c r="AP70" s="9"/>
      <c r="AQ70" s="10">
        <v>43006</v>
      </c>
      <c r="AR70" s="9">
        <v>6453.4501950000003</v>
      </c>
      <c r="AS70" s="11">
        <f t="shared" si="30"/>
        <v>2.9508962432215533E-5</v>
      </c>
      <c r="AT70" s="9">
        <f t="shared" si="12"/>
        <v>105.09786426622827</v>
      </c>
      <c r="AU70" s="9">
        <f t="shared" si="13"/>
        <v>0.86348017039881397</v>
      </c>
      <c r="AV70" s="9">
        <f t="shared" si="31"/>
        <v>-85.00797317387098</v>
      </c>
      <c r="AW70" s="9"/>
      <c r="AX70" s="10">
        <v>43196</v>
      </c>
      <c r="AY70" s="9">
        <v>6915.1098629999997</v>
      </c>
      <c r="AZ70" s="11">
        <f t="shared" si="32"/>
        <v>-2.2813369007299734E-2</v>
      </c>
      <c r="BA70" s="9">
        <f t="shared" si="14"/>
        <v>96.896961643015572</v>
      </c>
      <c r="BB70" s="9">
        <f t="shared" si="15"/>
        <v>0.40522824997586493</v>
      </c>
      <c r="BC70" s="9">
        <f t="shared" si="33"/>
        <v>-37.506414109793269</v>
      </c>
      <c r="BD70" s="9"/>
      <c r="BE70" s="10">
        <v>43383</v>
      </c>
      <c r="BF70" s="9">
        <v>7422.0498049999997</v>
      </c>
      <c r="BG70" s="11">
        <f t="shared" si="34"/>
        <v>-4.0833470859900967E-2</v>
      </c>
      <c r="BH70" s="9">
        <f t="shared" si="16"/>
        <v>94.838599433779791</v>
      </c>
      <c r="BI70" s="9">
        <f t="shared" si="17"/>
        <v>0.37070768266607668</v>
      </c>
      <c r="BJ70" s="9">
        <f t="shared" si="35"/>
        <v>-31.122974091784531</v>
      </c>
    </row>
    <row r="71" spans="1:62" x14ac:dyDescent="0.3">
      <c r="A71" s="10">
        <v>41877</v>
      </c>
      <c r="B71" s="9">
        <v>4570.6401370000003</v>
      </c>
      <c r="C71" s="11">
        <f t="shared" si="18"/>
        <v>2.9161768822265352E-3</v>
      </c>
      <c r="D71" s="9">
        <f t="shared" si="0"/>
        <v>108.17878129220159</v>
      </c>
      <c r="E71" s="9">
        <f t="shared" si="1"/>
        <v>0.90896218592492528</v>
      </c>
      <c r="F71" s="9">
        <f t="shared" si="19"/>
        <v>-89.204467770836516</v>
      </c>
      <c r="G71" s="9"/>
      <c r="H71" s="10">
        <v>42067</v>
      </c>
      <c r="I71" s="9">
        <v>4967.1401370000003</v>
      </c>
      <c r="J71" s="11">
        <f t="shared" si="20"/>
        <v>-2.5622533085203742E-3</v>
      </c>
      <c r="K71" s="9">
        <f t="shared" si="2"/>
        <v>105.07239857486859</v>
      </c>
      <c r="L71" s="9">
        <f t="shared" si="3"/>
        <v>0.78659757946230924</v>
      </c>
      <c r="M71" s="9">
        <f t="shared" si="21"/>
        <v>-76.392870331260738</v>
      </c>
      <c r="N71" s="9"/>
      <c r="O71" s="10">
        <v>42255</v>
      </c>
      <c r="P71" s="9">
        <v>4811.9301759999998</v>
      </c>
      <c r="Q71" s="11">
        <f t="shared" si="22"/>
        <v>2.7329727265136581E-2</v>
      </c>
      <c r="R71" s="9">
        <f t="shared" si="4"/>
        <v>95.972373909022807</v>
      </c>
      <c r="S71" s="9">
        <f t="shared" si="5"/>
        <v>0.3696931397157287</v>
      </c>
      <c r="T71" s="9">
        <f t="shared" si="23"/>
        <v>-33.584514869380321</v>
      </c>
      <c r="U71" s="9"/>
      <c r="V71" s="10">
        <v>42444</v>
      </c>
      <c r="W71" s="9">
        <v>4728.669922</v>
      </c>
      <c r="X71" s="11">
        <f t="shared" si="24"/>
        <v>-4.5491768860093955E-3</v>
      </c>
      <c r="Y71" s="9">
        <f t="shared" si="6"/>
        <v>95.848757891001071</v>
      </c>
      <c r="Z71" s="9">
        <f t="shared" si="7"/>
        <v>0.35549548763734395</v>
      </c>
      <c r="AA71" s="9">
        <f t="shared" si="25"/>
        <v>-32.595232172545593</v>
      </c>
      <c r="AB71" s="9"/>
      <c r="AC71" s="10">
        <v>42632</v>
      </c>
      <c r="AD71" s="9">
        <v>5235.0297849999997</v>
      </c>
      <c r="AE71" s="11">
        <f t="shared" si="26"/>
        <v>-1.8190317452431793E-3</v>
      </c>
      <c r="AF71" s="9">
        <f t="shared" si="8"/>
        <v>108.22415870320748</v>
      </c>
      <c r="AG71" s="9">
        <f t="shared" si="9"/>
        <v>0.89247225734398328</v>
      </c>
      <c r="AH71" s="9">
        <f t="shared" si="27"/>
        <v>-87.964537308654513</v>
      </c>
      <c r="AI71" s="9"/>
      <c r="AJ71" s="10">
        <v>42821</v>
      </c>
      <c r="AK71" s="9">
        <v>5840.3701170000004</v>
      </c>
      <c r="AL71" s="11">
        <f t="shared" si="28"/>
        <v>1.9952652774198956E-3</v>
      </c>
      <c r="AM71" s="9">
        <f t="shared" si="10"/>
        <v>107.21351026039004</v>
      </c>
      <c r="AN71" s="9">
        <f t="shared" si="11"/>
        <v>0.93376598471227612</v>
      </c>
      <c r="AO71" s="9">
        <f t="shared" si="29"/>
        <v>-92.183865002077312</v>
      </c>
      <c r="AP71" s="9"/>
      <c r="AQ71" s="10">
        <v>43007</v>
      </c>
      <c r="AR71" s="9">
        <v>6495.9599609999996</v>
      </c>
      <c r="AS71" s="11">
        <f t="shared" si="30"/>
        <v>6.5871378434027277E-3</v>
      </c>
      <c r="AT71" s="9">
        <f t="shared" si="12"/>
        <v>105.79015838519716</v>
      </c>
      <c r="AU71" s="9">
        <f t="shared" si="13"/>
        <v>0.89105174282199917</v>
      </c>
      <c r="AV71" s="9">
        <f t="shared" si="31"/>
        <v>-87.92826773758307</v>
      </c>
      <c r="AW71" s="9"/>
      <c r="AX71" s="10">
        <v>43199</v>
      </c>
      <c r="AY71" s="9">
        <v>6950.3398440000001</v>
      </c>
      <c r="AZ71" s="11">
        <f t="shared" si="32"/>
        <v>5.0946379302665911E-3</v>
      </c>
      <c r="BA71" s="9">
        <f t="shared" si="14"/>
        <v>97.39061657912967</v>
      </c>
      <c r="BB71" s="9">
        <f t="shared" si="15"/>
        <v>0.42367055313710766</v>
      </c>
      <c r="BC71" s="9">
        <f t="shared" si="33"/>
        <v>-39.307145749315474</v>
      </c>
      <c r="BD71" s="9"/>
      <c r="BE71" s="10">
        <v>43384</v>
      </c>
      <c r="BF71" s="9">
        <v>7329.0600590000004</v>
      </c>
      <c r="BG71" s="11">
        <f t="shared" si="34"/>
        <v>-1.2528849636303309E-2</v>
      </c>
      <c r="BH71" s="9">
        <f t="shared" si="16"/>
        <v>93.650380881756362</v>
      </c>
      <c r="BI71" s="9">
        <f t="shared" si="17"/>
        <v>0.33205661457379965</v>
      </c>
      <c r="BJ71" s="9">
        <f t="shared" si="35"/>
        <v>-27.504565896070346</v>
      </c>
    </row>
    <row r="72" spans="1:62" x14ac:dyDescent="0.3">
      <c r="A72" s="10">
        <v>41878</v>
      </c>
      <c r="B72" s="9">
        <v>4569.6201170000004</v>
      </c>
      <c r="C72" s="11">
        <f t="shared" si="18"/>
        <v>-2.231678647685956E-4</v>
      </c>
      <c r="D72" s="9">
        <f t="shared" si="0"/>
        <v>108.15463926456734</v>
      </c>
      <c r="E72" s="9">
        <f t="shared" si="1"/>
        <v>0.90939046986310823</v>
      </c>
      <c r="F72" s="9">
        <f t="shared" si="19"/>
        <v>-89.254454678033667</v>
      </c>
      <c r="G72" s="9"/>
      <c r="H72" s="10">
        <v>42068</v>
      </c>
      <c r="I72" s="9">
        <v>4982.8100590000004</v>
      </c>
      <c r="J72" s="11">
        <f t="shared" si="20"/>
        <v>3.1547171144368381E-3</v>
      </c>
      <c r="K72" s="9">
        <f t="shared" si="2"/>
        <v>105.40387226890763</v>
      </c>
      <c r="L72" s="9">
        <f t="shared" si="3"/>
        <v>0.80035778283695747</v>
      </c>
      <c r="M72" s="9">
        <f t="shared" si="21"/>
        <v>-77.846388547693437</v>
      </c>
      <c r="N72" s="9"/>
      <c r="O72" s="10">
        <v>42256</v>
      </c>
      <c r="P72" s="9">
        <v>4756.5297849999997</v>
      </c>
      <c r="Q72" s="11">
        <f t="shared" si="22"/>
        <v>-1.1513132770777788E-2</v>
      </c>
      <c r="R72" s="9">
        <f t="shared" si="4"/>
        <v>94.867431225881504</v>
      </c>
      <c r="S72" s="9">
        <f t="shared" si="5"/>
        <v>0.32471684194390443</v>
      </c>
      <c r="T72" s="9">
        <f t="shared" si="23"/>
        <v>-29.319109247619956</v>
      </c>
      <c r="U72" s="9"/>
      <c r="V72" s="10">
        <v>42445</v>
      </c>
      <c r="W72" s="9">
        <v>4763.9702150000003</v>
      </c>
      <c r="X72" s="11">
        <f t="shared" si="24"/>
        <v>7.4651632662636582E-3</v>
      </c>
      <c r="Y72" s="9">
        <f t="shared" si="6"/>
        <v>96.564284517525962</v>
      </c>
      <c r="Z72" s="9">
        <f t="shared" si="7"/>
        <v>0.38491878868747337</v>
      </c>
      <c r="AA72" s="9">
        <f t="shared" si="25"/>
        <v>-35.437811744209355</v>
      </c>
      <c r="AB72" s="9"/>
      <c r="AC72" s="10">
        <v>42633</v>
      </c>
      <c r="AD72" s="9">
        <v>5241.3500979999999</v>
      </c>
      <c r="AE72" s="11">
        <f t="shared" si="26"/>
        <v>1.2073117555338169E-3</v>
      </c>
      <c r="AF72" s="9">
        <f t="shared" si="8"/>
        <v>108.35481900224262</v>
      </c>
      <c r="AG72" s="9">
        <f t="shared" si="9"/>
        <v>0.89673764120015431</v>
      </c>
      <c r="AH72" s="9">
        <f t="shared" si="27"/>
        <v>-88.430327259631738</v>
      </c>
      <c r="AI72" s="9"/>
      <c r="AJ72" s="10">
        <v>42822</v>
      </c>
      <c r="AK72" s="9">
        <v>5875.1401370000003</v>
      </c>
      <c r="AL72" s="11">
        <f t="shared" si="28"/>
        <v>5.9533932445124055E-3</v>
      </c>
      <c r="AM72" s="9">
        <f t="shared" si="10"/>
        <v>107.85179444809469</v>
      </c>
      <c r="AN72" s="9">
        <f t="shared" si="11"/>
        <v>0.94860923139119724</v>
      </c>
      <c r="AO72" s="9">
        <f t="shared" si="29"/>
        <v>-93.788524247692905</v>
      </c>
      <c r="AP72" s="9"/>
      <c r="AQ72" s="10">
        <v>43010</v>
      </c>
      <c r="AR72" s="9">
        <v>6516.7202150000003</v>
      </c>
      <c r="AS72" s="11">
        <f t="shared" si="30"/>
        <v>3.1958716070665011E-3</v>
      </c>
      <c r="AT72" s="9">
        <f t="shared" si="12"/>
        <v>106.12825014868747</v>
      </c>
      <c r="AU72" s="9">
        <f t="shared" si="13"/>
        <v>0.90545450577830733</v>
      </c>
      <c r="AV72" s="9">
        <f t="shared" si="31"/>
        <v>-89.467648907083003</v>
      </c>
      <c r="AW72" s="9"/>
      <c r="AX72" s="10">
        <v>43200</v>
      </c>
      <c r="AY72" s="9">
        <v>7094.2998049999997</v>
      </c>
      <c r="AZ72" s="11">
        <f t="shared" si="32"/>
        <v>2.0712650637403792E-2</v>
      </c>
      <c r="BA72" s="9">
        <f t="shared" si="14"/>
        <v>99.407834395694522</v>
      </c>
      <c r="BB72" s="9">
        <f t="shared" si="15"/>
        <v>0.50967987605737086</v>
      </c>
      <c r="BC72" s="9">
        <f t="shared" si="33"/>
        <v>-47.858761674005713</v>
      </c>
      <c r="BD72" s="9"/>
      <c r="BE72" s="10">
        <v>43385</v>
      </c>
      <c r="BF72" s="9">
        <v>7496.8901370000003</v>
      </c>
      <c r="BG72" s="11">
        <f t="shared" si="34"/>
        <v>2.289926356844444E-2</v>
      </c>
      <c r="BH72" s="9">
        <f t="shared" si="16"/>
        <v>95.794905636852917</v>
      </c>
      <c r="BI72" s="9">
        <f t="shared" si="17"/>
        <v>0.39973907785093848</v>
      </c>
      <c r="BJ72" s="9">
        <f t="shared" si="35"/>
        <v>-33.989331426825657</v>
      </c>
    </row>
    <row r="73" spans="1:62" x14ac:dyDescent="0.3">
      <c r="A73" s="10">
        <v>41879</v>
      </c>
      <c r="B73" s="9">
        <v>4557.7001950000003</v>
      </c>
      <c r="C73" s="11">
        <f t="shared" si="18"/>
        <v>-2.6085148644315725E-3</v>
      </c>
      <c r="D73" s="9">
        <f t="shared" ref="D73:D136" si="36">B73/B$8*100</f>
        <v>107.87251628038848</v>
      </c>
      <c r="E73" s="9">
        <f t="shared" ref="E73:E136" si="37">Bscall_delta((B$2-A73)/365,E$2,D73,B$4,E$3)</f>
        <v>0.90346657743109071</v>
      </c>
      <c r="F73" s="9">
        <f t="shared" si="19"/>
        <v>-88.61909756187643</v>
      </c>
      <c r="G73" s="9"/>
      <c r="H73" s="10">
        <v>42069</v>
      </c>
      <c r="I73" s="9">
        <v>4927.3701170000004</v>
      </c>
      <c r="J73" s="11">
        <f t="shared" si="20"/>
        <v>-1.1126240282802635E-2</v>
      </c>
      <c r="K73" s="9">
        <f t="shared" ref="K73:K136" si="38">I73/I$8*100</f>
        <v>104.23112345930593</v>
      </c>
      <c r="L73" s="9">
        <f t="shared" ref="L73:L136" si="39">Bscall_delta((I$2-H73)/365,L$2,K73,I$4,L$3)</f>
        <v>0.75353852892180373</v>
      </c>
      <c r="M73" s="9">
        <f t="shared" si="21"/>
        <v>-72.969564344980284</v>
      </c>
      <c r="N73" s="9"/>
      <c r="O73" s="10">
        <v>42257</v>
      </c>
      <c r="P73" s="9">
        <v>4796.25</v>
      </c>
      <c r="Q73" s="11">
        <f t="shared" si="22"/>
        <v>8.3506709293107648E-3</v>
      </c>
      <c r="R73" s="9">
        <f t="shared" ref="R73:R136" si="40">P73/P$8*100</f>
        <v>95.659637925957867</v>
      </c>
      <c r="S73" s="9">
        <f t="shared" ref="S73:S136" si="41">Bscall_delta((P$2-O73)/365,S$2,R73,P$4,S$3)</f>
        <v>0.35495527127680865</v>
      </c>
      <c r="T73" s="9">
        <f t="shared" si="23"/>
        <v>-32.212911368714273</v>
      </c>
      <c r="U73" s="9"/>
      <c r="V73" s="10">
        <v>42446</v>
      </c>
      <c r="W73" s="9">
        <v>4774.9902339999999</v>
      </c>
      <c r="X73" s="11">
        <f t="shared" si="24"/>
        <v>2.3132006504368104E-3</v>
      </c>
      <c r="Y73" s="9">
        <f t="shared" ref="Y73:Y136" si="42">W73/W$8*100</f>
        <v>96.787657083280877</v>
      </c>
      <c r="Z73" s="9">
        <f t="shared" ref="Z73:Z136" si="43">Bscall_delta((W$2-V73)/365,Z$2,Y73,W$4,Z$3)</f>
        <v>0.39363344463885058</v>
      </c>
      <c r="AA73" s="9">
        <f t="shared" si="25"/>
        <v>-36.282739254383245</v>
      </c>
      <c r="AB73" s="9"/>
      <c r="AC73" s="10">
        <v>42634</v>
      </c>
      <c r="AD73" s="9">
        <v>5295.1801759999998</v>
      </c>
      <c r="AE73" s="11">
        <f t="shared" si="26"/>
        <v>1.0270269490401052E-2</v>
      </c>
      <c r="AF73" s="9">
        <f t="shared" ref="AF73:AF136" si="44">AD73/AD$8*100</f>
        <v>109.46765219397928</v>
      </c>
      <c r="AG73" s="9">
        <f t="shared" ref="AG73:AG136" si="45">Bscall_delta((AD$2-AC73)/365,AG$2,AF73,AD$4,AG$3)</f>
        <v>0.92210879256957856</v>
      </c>
      <c r="AH73" s="9">
        <f t="shared" si="27"/>
        <v>-91.211281831213512</v>
      </c>
      <c r="AI73" s="9"/>
      <c r="AJ73" s="10">
        <v>42823</v>
      </c>
      <c r="AK73" s="9">
        <v>5897.5498049999997</v>
      </c>
      <c r="AL73" s="11">
        <f t="shared" si="28"/>
        <v>3.8143205910731331E-3</v>
      </c>
      <c r="AM73" s="9">
        <f t="shared" ref="AM73:AM136" si="46">AK73/AK$8*100</f>
        <v>108.26317576844224</v>
      </c>
      <c r="AN73" s="9">
        <f t="shared" ref="AN73:AN136" si="47">Bscall_delta((AK$2-AJ73)/365,AN$2,AM73,AK$4,AN$3)</f>
        <v>0.95698360051576703</v>
      </c>
      <c r="AO73" s="9">
        <f t="shared" si="29"/>
        <v>-94.699014446289794</v>
      </c>
      <c r="AP73" s="9"/>
      <c r="AQ73" s="10">
        <v>43011</v>
      </c>
      <c r="AR73" s="9">
        <v>6531.7099609999996</v>
      </c>
      <c r="AS73" s="11">
        <f t="shared" si="30"/>
        <v>2.3001978764557542E-3</v>
      </c>
      <c r="AT73" s="9">
        <f t="shared" ref="AT73:AT136" si="48">AR73/AR$8*100</f>
        <v>106.37236612431144</v>
      </c>
      <c r="AU73" s="9">
        <f t="shared" ref="AU73:AU136" si="49">Bscall_delta((AR$2-AQ73)/365,AU$2,AT73,AR$4,AU$3)</f>
        <v>0.91406292063692507</v>
      </c>
      <c r="AV73" s="9">
        <f t="shared" si="31"/>
        <v>-90.387023192419392</v>
      </c>
      <c r="AW73" s="9"/>
      <c r="AX73" s="10">
        <v>43201</v>
      </c>
      <c r="AY73" s="9">
        <v>7069.0297849999997</v>
      </c>
      <c r="AZ73" s="11">
        <f t="shared" si="32"/>
        <v>-3.562017492154736E-3</v>
      </c>
      <c r="BA73" s="9">
        <f t="shared" ref="BA73:BA136" si="50">AY73/AY$8*100</f>
        <v>99.053741950719839</v>
      </c>
      <c r="BB73" s="9">
        <f t="shared" ref="BB73:BB136" si="51">Bscall_delta((AY$2-AX73)/365,BB$2,BA73,AY$4,BB$3)</f>
        <v>0.49408317751124964</v>
      </c>
      <c r="BC73" s="9">
        <f t="shared" si="33"/>
        <v>-46.315817159774227</v>
      </c>
      <c r="BD73" s="9"/>
      <c r="BE73" s="10">
        <v>43388</v>
      </c>
      <c r="BF73" s="9">
        <v>7430.7402339999999</v>
      </c>
      <c r="BG73" s="11">
        <f t="shared" si="34"/>
        <v>-8.8236457772704387E-3</v>
      </c>
      <c r="BH73" s="9">
        <f t="shared" ref="BH73:BH136" si="52">BF73/BF$8*100</f>
        <v>94.949645322246269</v>
      </c>
      <c r="BI73" s="9">
        <f t="shared" ref="BI73:BI136" si="53">Bscall_delta((BF$2-BE73)/365,BI$2,BH73,BF$4,BI$3)</f>
        <v>0.36921450407908007</v>
      </c>
      <c r="BJ73" s="9">
        <f t="shared" si="35"/>
        <v>-31.095224697420321</v>
      </c>
    </row>
    <row r="74" spans="1:62" x14ac:dyDescent="0.3">
      <c r="A74" s="10">
        <v>41880</v>
      </c>
      <c r="B74" s="9">
        <v>4580.2700199999999</v>
      </c>
      <c r="C74" s="11">
        <f t="shared" ref="C74:C137" si="54">(B74-B73)/B73</f>
        <v>4.9520205442121186E-3</v>
      </c>
      <c r="D74" s="9">
        <f t="shared" si="36"/>
        <v>108.40670319716483</v>
      </c>
      <c r="E74" s="9">
        <f t="shared" si="37"/>
        <v>0.91727749873170794</v>
      </c>
      <c r="F74" s="9">
        <f t="shared" ref="F74:F136" si="55">F73*EXP(E$3*(A74-A73)/365)-(E74-E73)*D74</f>
        <v>-90.11993596374775</v>
      </c>
      <c r="G74" s="9"/>
      <c r="H74" s="10">
        <v>42072</v>
      </c>
      <c r="I74" s="9">
        <v>4942.4399409999996</v>
      </c>
      <c r="J74" s="11">
        <f t="shared" ref="J74:J137" si="56">(I74-I73)/I73</f>
        <v>3.0583909148627982E-3</v>
      </c>
      <c r="K74" s="9">
        <f t="shared" si="38"/>
        <v>104.54990298033984</v>
      </c>
      <c r="L74" s="9">
        <f t="shared" si="39"/>
        <v>0.7699062347952168</v>
      </c>
      <c r="M74" s="9">
        <f t="shared" ref="M74:M136" si="57">M73*EXP(L$3*(H74-H73)/365)-(L74-L73)*K74</f>
        <v>-74.689803208301342</v>
      </c>
      <c r="N74" s="9"/>
      <c r="O74" s="10">
        <v>42258</v>
      </c>
      <c r="P74" s="9">
        <v>4822.3398440000001</v>
      </c>
      <c r="Q74" s="11">
        <f t="shared" ref="Q74:Q137" si="58">(P74-P73)/P73</f>
        <v>5.4396338806359315E-3</v>
      </c>
      <c r="R74" s="9">
        <f t="shared" si="40"/>
        <v>96.179991333429257</v>
      </c>
      <c r="S74" s="9">
        <f t="shared" si="41"/>
        <v>0.37502507902226523</v>
      </c>
      <c r="T74" s="9">
        <f t="shared" ref="T74:T136" si="59">T73*EXP(S$3*(O74-O73)/365)-(S74-S73)*R74</f>
        <v>-34.144549149213425</v>
      </c>
      <c r="U74" s="9"/>
      <c r="V74" s="10">
        <v>42447</v>
      </c>
      <c r="W74" s="9">
        <v>4795.6499020000001</v>
      </c>
      <c r="X74" s="11">
        <f t="shared" ref="X74:X137" si="60">(W74-W73)/W73</f>
        <v>4.3266408908848543E-3</v>
      </c>
      <c r="Y74" s="9">
        <f t="shared" si="42"/>
        <v>97.206422518150333</v>
      </c>
      <c r="Z74" s="9">
        <f t="shared" si="43"/>
        <v>0.4110529728270762</v>
      </c>
      <c r="AA74" s="9">
        <f t="shared" ref="AA74:AA136" si="61">AA73*EXP(Z$3*(V74-V73)/365)-(Z74-Z73)*Y74</f>
        <v>-37.977520373629808</v>
      </c>
      <c r="AB74" s="9"/>
      <c r="AC74" s="10">
        <v>42635</v>
      </c>
      <c r="AD74" s="9">
        <v>5339.5200199999999</v>
      </c>
      <c r="AE74" s="11">
        <f t="shared" ref="AE74:AE137" si="62">(AD74-AD73)/AD73</f>
        <v>8.3736232812184636E-3</v>
      </c>
      <c r="AF74" s="9">
        <f t="shared" si="44"/>
        <v>110.38429307493109</v>
      </c>
      <c r="AG74" s="9">
        <f t="shared" si="45"/>
        <v>0.93938123751057456</v>
      </c>
      <c r="AH74" s="9">
        <f t="shared" ref="AH74:AH136" si="63">AH73*EXP(AG$3*(AC74-AC73)/365)-(AG74-AG73)*AF74</f>
        <v>-93.12163694156655</v>
      </c>
      <c r="AI74" s="9"/>
      <c r="AJ74" s="10">
        <v>42824</v>
      </c>
      <c r="AK74" s="9">
        <v>5914.3398440000001</v>
      </c>
      <c r="AL74" s="11">
        <f t="shared" ref="AL74:AL137" si="64">(AK74-AK73)/AK73</f>
        <v>2.8469516248537108E-3</v>
      </c>
      <c r="AM74" s="9">
        <f t="shared" si="46"/>
        <v>108.57139579260804</v>
      </c>
      <c r="AN74" s="9">
        <f t="shared" si="47"/>
        <v>0.96271963368116864</v>
      </c>
      <c r="AO74" s="9">
        <f t="shared" ref="AO74:AO136" si="65">AO73*EXP(AN$3*(AJ74-AJ73)/365)-(AN74-AN73)*AM74</f>
        <v>-95.325675393658202</v>
      </c>
      <c r="AP74" s="9"/>
      <c r="AQ74" s="10">
        <v>43012</v>
      </c>
      <c r="AR74" s="9">
        <v>6534.6298829999996</v>
      </c>
      <c r="AS74" s="11">
        <f t="shared" ref="AS74:AS137" si="66">(AR74-AR73)/AR73</f>
        <v>4.4703791464019703E-4</v>
      </c>
      <c r="AT74" s="9">
        <f t="shared" si="48"/>
        <v>106.41991860503902</v>
      </c>
      <c r="AU74" s="9">
        <f t="shared" si="49"/>
        <v>0.91646707935649796</v>
      </c>
      <c r="AV74" s="9">
        <f t="shared" ref="AV74:AV136" si="67">AV73*EXP(AU$3*(AQ74-AQ73)/365)-(AU74-AU73)*AT74</f>
        <v>-90.646588179196726</v>
      </c>
      <c r="AW74" s="9"/>
      <c r="AX74" s="10">
        <v>43202</v>
      </c>
      <c r="AY74" s="9">
        <v>7140.25</v>
      </c>
      <c r="AZ74" s="11">
        <f t="shared" ref="AZ74:AZ137" si="68">(AY74-AY73)/AY73</f>
        <v>1.0074963207981487E-2</v>
      </c>
      <c r="BA74" s="9">
        <f t="shared" si="50"/>
        <v>100.05170475648623</v>
      </c>
      <c r="BB74" s="9">
        <f t="shared" si="51"/>
        <v>0.53675762989742848</v>
      </c>
      <c r="BC74" s="9">
        <f t="shared" ref="BC74:BC136" si="69">BC73*EXP(BB$3*(AX74-AX73)/365)-(BB74-BB73)*BA74</f>
        <v>-50.587372299418497</v>
      </c>
      <c r="BD74" s="9"/>
      <c r="BE74" s="10">
        <v>43389</v>
      </c>
      <c r="BF74" s="9">
        <v>7645.4902339999999</v>
      </c>
      <c r="BG74" s="11">
        <f t="shared" ref="BG74:BG137" si="70">(BF74-BF73)/BF73</f>
        <v>2.890021629573224E-2</v>
      </c>
      <c r="BH74" s="9">
        <f t="shared" si="52"/>
        <v>97.693710609262254</v>
      </c>
      <c r="BI74" s="9">
        <f t="shared" si="53"/>
        <v>0.45977728029749115</v>
      </c>
      <c r="BJ74" s="9">
        <f t="shared" ref="BJ74:BJ136" si="71">BJ73*EXP(BI$3*(BE74-BE73)/365)-(BI74-BI73)*BH74</f>
        <v>-39.943916261477909</v>
      </c>
    </row>
    <row r="75" spans="1:62" x14ac:dyDescent="0.3">
      <c r="A75" s="10">
        <v>41884</v>
      </c>
      <c r="B75" s="9">
        <v>4598.1899409999996</v>
      </c>
      <c r="C75" s="11">
        <f t="shared" si="54"/>
        <v>3.9124158448631602E-3</v>
      </c>
      <c r="D75" s="9">
        <f t="shared" si="36"/>
        <v>108.8308353004428</v>
      </c>
      <c r="E75" s="9">
        <f t="shared" si="37"/>
        <v>0.9303664544958451</v>
      </c>
      <c r="F75" s="9">
        <f t="shared" si="55"/>
        <v>-91.559233406493334</v>
      </c>
      <c r="G75" s="9"/>
      <c r="H75" s="10">
        <v>42073</v>
      </c>
      <c r="I75" s="9">
        <v>4859.7900390000004</v>
      </c>
      <c r="J75" s="11">
        <f t="shared" si="56"/>
        <v>-1.6722489901066298E-2</v>
      </c>
      <c r="K75" s="9">
        <f t="shared" si="38"/>
        <v>102.80156828359364</v>
      </c>
      <c r="L75" s="9">
        <f t="shared" si="39"/>
        <v>0.68936229445198371</v>
      </c>
      <c r="M75" s="9">
        <f t="shared" si="57"/>
        <v>-66.412829332315852</v>
      </c>
      <c r="N75" s="9"/>
      <c r="O75" s="10">
        <v>42261</v>
      </c>
      <c r="P75" s="9">
        <v>4805.7597660000001</v>
      </c>
      <c r="Q75" s="11">
        <f t="shared" si="58"/>
        <v>-3.4381811602575136E-3</v>
      </c>
      <c r="R75" s="9">
        <f t="shared" si="40"/>
        <v>95.849307099232945</v>
      </c>
      <c r="S75" s="9">
        <f t="shared" si="41"/>
        <v>0.358157311819574</v>
      </c>
      <c r="T75" s="9">
        <f t="shared" si="59"/>
        <v>-32.531995211980885</v>
      </c>
      <c r="U75" s="9"/>
      <c r="V75" s="10">
        <v>42450</v>
      </c>
      <c r="W75" s="9">
        <v>4808.8701170000004</v>
      </c>
      <c r="X75" s="11">
        <f t="shared" si="60"/>
        <v>2.7567097828569303E-3</v>
      </c>
      <c r="Y75" s="9">
        <f t="shared" si="42"/>
        <v>97.474392414062649</v>
      </c>
      <c r="Z75" s="9">
        <f t="shared" si="43"/>
        <v>0.42043926459925651</v>
      </c>
      <c r="AA75" s="9">
        <f t="shared" si="61"/>
        <v>-38.897125909828432</v>
      </c>
      <c r="AB75" s="9"/>
      <c r="AC75" s="10">
        <v>42636</v>
      </c>
      <c r="AD75" s="9">
        <v>5305.75</v>
      </c>
      <c r="AE75" s="11">
        <f t="shared" si="62"/>
        <v>-6.3245422572645272E-3</v>
      </c>
      <c r="AF75" s="9">
        <f t="shared" si="44"/>
        <v>109.68616294884043</v>
      </c>
      <c r="AG75" s="9">
        <f t="shared" si="45"/>
        <v>0.92825780357883203</v>
      </c>
      <c r="AH75" s="9">
        <f t="shared" si="63"/>
        <v>-91.905377150001755</v>
      </c>
      <c r="AI75" s="9"/>
      <c r="AJ75" s="10">
        <v>42825</v>
      </c>
      <c r="AK75" s="9">
        <v>5911.7402339999999</v>
      </c>
      <c r="AL75" s="11">
        <f t="shared" si="64"/>
        <v>-4.3954356167704377E-4</v>
      </c>
      <c r="AM75" s="9">
        <f t="shared" si="46"/>
        <v>108.52367393460511</v>
      </c>
      <c r="AN75" s="9">
        <f t="shared" si="47"/>
        <v>0.96269690867569313</v>
      </c>
      <c r="AO75" s="9">
        <f t="shared" si="65"/>
        <v>-95.327126766580676</v>
      </c>
      <c r="AP75" s="9"/>
      <c r="AQ75" s="10">
        <v>43013</v>
      </c>
      <c r="AR75" s="9">
        <v>6585.3598629999997</v>
      </c>
      <c r="AS75" s="11">
        <f t="shared" si="66"/>
        <v>7.7632522282517265E-3</v>
      </c>
      <c r="AT75" s="9">
        <f t="shared" si="48"/>
        <v>107.24608327527993</v>
      </c>
      <c r="AU75" s="9">
        <f t="shared" si="49"/>
        <v>0.93919578392898895</v>
      </c>
      <c r="AV75" s="9">
        <f t="shared" si="67"/>
        <v>-93.087878001317563</v>
      </c>
      <c r="AW75" s="9"/>
      <c r="AX75" s="10">
        <v>43203</v>
      </c>
      <c r="AY75" s="9">
        <v>7106.6499020000001</v>
      </c>
      <c r="AZ75" s="11">
        <f t="shared" si="68"/>
        <v>-4.7057313119288381E-3</v>
      </c>
      <c r="BA75" s="9">
        <f t="shared" si="50"/>
        <v>99.580888316601772</v>
      </c>
      <c r="BB75" s="9">
        <f t="shared" si="51"/>
        <v>0.51621635259629772</v>
      </c>
      <c r="BC75" s="9">
        <f t="shared" si="69"/>
        <v>-48.543932634440829</v>
      </c>
      <c r="BD75" s="9"/>
      <c r="BE75" s="10">
        <v>43390</v>
      </c>
      <c r="BF75" s="9">
        <v>7642.7001950000003</v>
      </c>
      <c r="BG75" s="11">
        <f t="shared" si="70"/>
        <v>-3.6492610867410916E-4</v>
      </c>
      <c r="BH75" s="9">
        <f t="shared" si="52"/>
        <v>97.65805962360767</v>
      </c>
      <c r="BI75" s="9">
        <f t="shared" si="53"/>
        <v>0.45796032953893301</v>
      </c>
      <c r="BJ75" s="9">
        <f t="shared" si="71"/>
        <v>-39.768117940501291</v>
      </c>
    </row>
    <row r="76" spans="1:62" x14ac:dyDescent="0.3">
      <c r="A76" s="10">
        <v>41885</v>
      </c>
      <c r="B76" s="9">
        <v>4572.5600590000004</v>
      </c>
      <c r="C76" s="11">
        <f t="shared" si="54"/>
        <v>-5.5739067608906482E-3</v>
      </c>
      <c r="D76" s="9">
        <f t="shared" si="36"/>
        <v>108.22422237176828</v>
      </c>
      <c r="E76" s="9">
        <f t="shared" si="37"/>
        <v>0.91830579544559654</v>
      </c>
      <c r="F76" s="9">
        <f t="shared" si="55"/>
        <v>-90.2577407450283</v>
      </c>
      <c r="G76" s="9"/>
      <c r="H76" s="10">
        <v>42074</v>
      </c>
      <c r="I76" s="9">
        <v>4849.9399409999996</v>
      </c>
      <c r="J76" s="11">
        <f t="shared" si="56"/>
        <v>-2.0268566997655012E-3</v>
      </c>
      <c r="K76" s="9">
        <f t="shared" si="38"/>
        <v>102.59320423617162</v>
      </c>
      <c r="L76" s="9">
        <f t="shared" si="39"/>
        <v>0.67934486824394225</v>
      </c>
      <c r="M76" s="9">
        <f t="shared" si="57"/>
        <v>-65.387838829871754</v>
      </c>
      <c r="N76" s="9"/>
      <c r="O76" s="10">
        <v>42262</v>
      </c>
      <c r="P76" s="9">
        <v>4860.5200199999999</v>
      </c>
      <c r="Q76" s="11">
        <f t="shared" si="58"/>
        <v>1.1394713149712569E-2</v>
      </c>
      <c r="R76" s="9">
        <f t="shared" si="40"/>
        <v>96.941482459227402</v>
      </c>
      <c r="S76" s="9">
        <f t="shared" si="41"/>
        <v>0.40287176859768503</v>
      </c>
      <c r="T76" s="9">
        <f t="shared" si="59"/>
        <v>-36.86801789819166</v>
      </c>
      <c r="U76" s="9"/>
      <c r="V76" s="10">
        <v>42451</v>
      </c>
      <c r="W76" s="9">
        <v>4821.6601559999999</v>
      </c>
      <c r="X76" s="11">
        <f t="shared" si="60"/>
        <v>2.659676532910511E-3</v>
      </c>
      <c r="Y76" s="9">
        <f t="shared" si="42"/>
        <v>97.733642768126032</v>
      </c>
      <c r="Z76" s="9">
        <f t="shared" si="43"/>
        <v>0.43131216149196511</v>
      </c>
      <c r="AA76" s="9">
        <f t="shared" si="61"/>
        <v>-39.961372275465358</v>
      </c>
      <c r="AB76" s="9"/>
      <c r="AC76" s="10">
        <v>42639</v>
      </c>
      <c r="AD76" s="9">
        <v>5257.4902339999999</v>
      </c>
      <c r="AE76" s="11">
        <f t="shared" si="62"/>
        <v>-9.0957481977100556E-3</v>
      </c>
      <c r="AF76" s="9">
        <f t="shared" si="44"/>
        <v>108.68848522988479</v>
      </c>
      <c r="AG76" s="9">
        <f t="shared" si="45"/>
        <v>0.91100673067360582</v>
      </c>
      <c r="AH76" s="9">
        <f t="shared" si="63"/>
        <v>-90.041715665767697</v>
      </c>
      <c r="AI76" s="9"/>
      <c r="AJ76" s="10">
        <v>42828</v>
      </c>
      <c r="AK76" s="9">
        <v>5894.6801759999998</v>
      </c>
      <c r="AL76" s="11">
        <f t="shared" si="64"/>
        <v>-2.8857929010282063E-3</v>
      </c>
      <c r="AM76" s="9">
        <f t="shared" si="46"/>
        <v>108.21049708677113</v>
      </c>
      <c r="AN76" s="9">
        <f t="shared" si="47"/>
        <v>0.95989715574649292</v>
      </c>
      <c r="AO76" s="9">
        <f t="shared" si="65"/>
        <v>-95.035917494364952</v>
      </c>
      <c r="AP76" s="9"/>
      <c r="AQ76" s="10">
        <v>43014</v>
      </c>
      <c r="AR76" s="9">
        <v>6590.1801759999998</v>
      </c>
      <c r="AS76" s="11">
        <f t="shared" si="66"/>
        <v>7.3197412142701757E-4</v>
      </c>
      <c r="AT76" s="9">
        <f t="shared" si="48"/>
        <v>107.32458463286186</v>
      </c>
      <c r="AU76" s="9">
        <f t="shared" si="49"/>
        <v>0.94187690698806126</v>
      </c>
      <c r="AV76" s="9">
        <f t="shared" si="67"/>
        <v>-93.37945402782286</v>
      </c>
      <c r="AW76" s="9"/>
      <c r="AX76" s="10">
        <v>43206</v>
      </c>
      <c r="AY76" s="9">
        <v>7156.2797849999997</v>
      </c>
      <c r="AZ76" s="11">
        <f t="shared" si="68"/>
        <v>6.9835835005791465E-3</v>
      </c>
      <c r="BA76" s="9">
        <f t="shared" si="50"/>
        <v>100.2763197652226</v>
      </c>
      <c r="BB76" s="9">
        <f t="shared" si="51"/>
        <v>0.54585976162491612</v>
      </c>
      <c r="BC76" s="9">
        <f t="shared" si="69"/>
        <v>-51.522449834478252</v>
      </c>
      <c r="BD76" s="9"/>
      <c r="BE76" s="10">
        <v>43391</v>
      </c>
      <c r="BF76" s="9">
        <v>7485.1401370000003</v>
      </c>
      <c r="BG76" s="11">
        <f t="shared" si="70"/>
        <v>-2.0615758040996926E-2</v>
      </c>
      <c r="BH76" s="9">
        <f t="shared" si="52"/>
        <v>95.644764695654132</v>
      </c>
      <c r="BI76" s="9">
        <f t="shared" si="53"/>
        <v>0.38920697399749982</v>
      </c>
      <c r="BJ76" s="9">
        <f t="shared" si="71"/>
        <v>-33.193853767503093</v>
      </c>
    </row>
    <row r="77" spans="1:62" x14ac:dyDescent="0.3">
      <c r="A77" s="10">
        <v>41886</v>
      </c>
      <c r="B77" s="9">
        <v>4562.2900390000004</v>
      </c>
      <c r="C77" s="11">
        <f t="shared" si="54"/>
        <v>-2.2460109583002266E-3</v>
      </c>
      <c r="D77" s="9">
        <f t="shared" si="36"/>
        <v>107.98114958236775</v>
      </c>
      <c r="E77" s="9">
        <f t="shared" si="37"/>
        <v>0.91364617442668761</v>
      </c>
      <c r="F77" s="9">
        <f t="shared" si="55"/>
        <v>-89.758298809228677</v>
      </c>
      <c r="G77" s="9"/>
      <c r="H77" s="10">
        <v>42075</v>
      </c>
      <c r="I77" s="9">
        <v>4893.2900390000004</v>
      </c>
      <c r="J77" s="11">
        <f t="shared" si="56"/>
        <v>8.938275221416974E-3</v>
      </c>
      <c r="K77" s="9">
        <f t="shared" si="38"/>
        <v>103.51021053148158</v>
      </c>
      <c r="L77" s="9">
        <f t="shared" si="39"/>
        <v>0.72562823323400583</v>
      </c>
      <c r="M77" s="9">
        <f t="shared" si="57"/>
        <v>-70.181326910774004</v>
      </c>
      <c r="N77" s="9"/>
      <c r="O77" s="10">
        <v>42263</v>
      </c>
      <c r="P77" s="9">
        <v>4889.2402339999999</v>
      </c>
      <c r="Q77" s="11">
        <f t="shared" si="58"/>
        <v>5.9088768036799364E-3</v>
      </c>
      <c r="R77" s="9">
        <f t="shared" si="40"/>
        <v>97.514297736245084</v>
      </c>
      <c r="S77" s="9">
        <f t="shared" si="41"/>
        <v>0.4264978490507203</v>
      </c>
      <c r="T77" s="9">
        <f t="shared" si="59"/>
        <v>-39.17341369698574</v>
      </c>
      <c r="U77" s="9"/>
      <c r="V77" s="10">
        <v>42452</v>
      </c>
      <c r="W77" s="9">
        <v>4768.8598629999997</v>
      </c>
      <c r="X77" s="11">
        <f t="shared" si="60"/>
        <v>-1.0950645896164284E-2</v>
      </c>
      <c r="Y77" s="9">
        <f t="shared" si="42"/>
        <v>96.663396254030076</v>
      </c>
      <c r="Z77" s="9">
        <f t="shared" si="43"/>
        <v>0.38227353615066634</v>
      </c>
      <c r="AA77" s="9">
        <f t="shared" si="61"/>
        <v>-35.222774484267461</v>
      </c>
      <c r="AB77" s="9"/>
      <c r="AC77" s="10">
        <v>42640</v>
      </c>
      <c r="AD77" s="9">
        <v>5305.7099609999996</v>
      </c>
      <c r="AE77" s="11">
        <f t="shared" si="62"/>
        <v>9.1716246448095059E-3</v>
      </c>
      <c r="AF77" s="9">
        <f t="shared" si="44"/>
        <v>109.6853352196262</v>
      </c>
      <c r="AG77" s="9">
        <f t="shared" si="45"/>
        <v>0.93225544010487482</v>
      </c>
      <c r="AH77" s="9">
        <f t="shared" si="63"/>
        <v>-92.376087903235785</v>
      </c>
      <c r="AI77" s="9"/>
      <c r="AJ77" s="10">
        <v>42829</v>
      </c>
      <c r="AK77" s="9">
        <v>5898.6098629999997</v>
      </c>
      <c r="AL77" s="11">
        <f t="shared" si="64"/>
        <v>6.6664973886105378E-4</v>
      </c>
      <c r="AM77" s="9">
        <f t="shared" si="46"/>
        <v>108.28263558639604</v>
      </c>
      <c r="AN77" s="9">
        <f t="shared" si="47"/>
        <v>0.96184567065749804</v>
      </c>
      <c r="AO77" s="9">
        <f t="shared" si="65"/>
        <v>-95.250813490311288</v>
      </c>
      <c r="AP77" s="9"/>
      <c r="AQ77" s="10">
        <v>43017</v>
      </c>
      <c r="AR77" s="9">
        <v>6579.7299800000001</v>
      </c>
      <c r="AS77" s="11">
        <f t="shared" si="66"/>
        <v>-1.5857223506660887E-3</v>
      </c>
      <c r="AT77" s="9">
        <f t="shared" si="48"/>
        <v>107.15439764023358</v>
      </c>
      <c r="AU77" s="9">
        <f t="shared" si="49"/>
        <v>0.94069026330800798</v>
      </c>
      <c r="AV77" s="9">
        <f t="shared" si="67"/>
        <v>-93.263813184207265</v>
      </c>
      <c r="AW77" s="9"/>
      <c r="AX77" s="10">
        <v>43207</v>
      </c>
      <c r="AY77" s="9">
        <v>7281.1000979999999</v>
      </c>
      <c r="AZ77" s="11">
        <f t="shared" si="68"/>
        <v>1.7442067212300891E-2</v>
      </c>
      <c r="BA77" s="9">
        <f t="shared" si="50"/>
        <v>102.02534607436979</v>
      </c>
      <c r="BB77" s="9">
        <f t="shared" si="51"/>
        <v>0.62048918446978529</v>
      </c>
      <c r="BC77" s="9">
        <f t="shared" si="69"/>
        <v>-59.138659932016616</v>
      </c>
      <c r="BD77" s="9"/>
      <c r="BE77" s="10">
        <v>43392</v>
      </c>
      <c r="BF77" s="9">
        <v>7449.0297849999997</v>
      </c>
      <c r="BG77" s="11">
        <f t="shared" si="70"/>
        <v>-4.8242720028049361E-3</v>
      </c>
      <c r="BH77" s="9">
        <f t="shared" si="52"/>
        <v>95.183348335118026</v>
      </c>
      <c r="BI77" s="9">
        <f t="shared" si="53"/>
        <v>0.37273285791613275</v>
      </c>
      <c r="BJ77" s="9">
        <f t="shared" si="71"/>
        <v>-31.627156397024379</v>
      </c>
    </row>
    <row r="78" spans="1:62" x14ac:dyDescent="0.3">
      <c r="A78" s="10">
        <v>41887</v>
      </c>
      <c r="B78" s="9">
        <v>4582.8999020000001</v>
      </c>
      <c r="C78" s="11">
        <f t="shared" si="54"/>
        <v>4.5174381338800446E-3</v>
      </c>
      <c r="D78" s="9">
        <f t="shared" si="36"/>
        <v>108.46894774523135</v>
      </c>
      <c r="E78" s="9">
        <f t="shared" si="37"/>
        <v>0.9258994729195914</v>
      </c>
      <c r="F78" s="9">
        <f t="shared" si="55"/>
        <v>-91.091089976169698</v>
      </c>
      <c r="G78" s="9"/>
      <c r="H78" s="10">
        <v>42076</v>
      </c>
      <c r="I78" s="9">
        <v>4871.7597660000001</v>
      </c>
      <c r="J78" s="11">
        <f t="shared" si="56"/>
        <v>-4.3999584795509613E-3</v>
      </c>
      <c r="K78" s="9">
        <f t="shared" si="38"/>
        <v>103.05476990293347</v>
      </c>
      <c r="L78" s="9">
        <f t="shared" si="39"/>
        <v>0.70410018062229374</v>
      </c>
      <c r="M78" s="9">
        <f t="shared" si="57"/>
        <v>-67.965642625799845</v>
      </c>
      <c r="N78" s="9"/>
      <c r="O78" s="10">
        <v>42264</v>
      </c>
      <c r="P78" s="9">
        <v>4893.9501950000003</v>
      </c>
      <c r="Q78" s="11">
        <f t="shared" si="58"/>
        <v>9.6333188278358505E-4</v>
      </c>
      <c r="R78" s="9">
        <f t="shared" si="40"/>
        <v>97.608236368281652</v>
      </c>
      <c r="S78" s="9">
        <f t="shared" si="41"/>
        <v>0.42974397379724794</v>
      </c>
      <c r="T78" s="9">
        <f t="shared" si="59"/>
        <v>-39.491872107921942</v>
      </c>
      <c r="U78" s="9"/>
      <c r="V78" s="10">
        <v>42453</v>
      </c>
      <c r="W78" s="9">
        <v>4773.5</v>
      </c>
      <c r="X78" s="11">
        <f t="shared" si="60"/>
        <v>9.7300762305925677E-4</v>
      </c>
      <c r="Y78" s="9">
        <f t="shared" si="42"/>
        <v>96.757450475456039</v>
      </c>
      <c r="Z78" s="9">
        <f t="shared" si="43"/>
        <v>0.38545081538601367</v>
      </c>
      <c r="AA78" s="9">
        <f t="shared" si="61"/>
        <v>-35.53164746355224</v>
      </c>
      <c r="AB78" s="9"/>
      <c r="AC78" s="10">
        <v>42641</v>
      </c>
      <c r="AD78" s="9">
        <v>5318.5498049999997</v>
      </c>
      <c r="AE78" s="11">
        <f t="shared" si="62"/>
        <v>2.4200048804741072E-3</v>
      </c>
      <c r="AF78" s="9">
        <f t="shared" si="44"/>
        <v>109.95077426617415</v>
      </c>
      <c r="AG78" s="9">
        <f t="shared" si="45"/>
        <v>0.93793207551331592</v>
      </c>
      <c r="AH78" s="9">
        <f t="shared" si="63"/>
        <v>-93.004034717212491</v>
      </c>
      <c r="AI78" s="9"/>
      <c r="AJ78" s="10">
        <v>42830</v>
      </c>
      <c r="AK78" s="9">
        <v>5864.4799800000001</v>
      </c>
      <c r="AL78" s="11">
        <f t="shared" si="64"/>
        <v>-5.7860892299531307E-3</v>
      </c>
      <c r="AM78" s="9">
        <f t="shared" si="46"/>
        <v>107.65610259483867</v>
      </c>
      <c r="AN78" s="9">
        <f t="shared" si="47"/>
        <v>0.95143675548101259</v>
      </c>
      <c r="AO78" s="9">
        <f t="shared" si="65"/>
        <v>-94.134144747597674</v>
      </c>
      <c r="AP78" s="9"/>
      <c r="AQ78" s="10">
        <v>43018</v>
      </c>
      <c r="AR78" s="9">
        <v>6587.25</v>
      </c>
      <c r="AS78" s="11">
        <f t="shared" si="66"/>
        <v>1.1429070832478039E-3</v>
      </c>
      <c r="AT78" s="9">
        <f t="shared" si="48"/>
        <v>107.27686516029775</v>
      </c>
      <c r="AU78" s="9">
        <f t="shared" si="49"/>
        <v>0.9443963924141785</v>
      </c>
      <c r="AV78" s="9">
        <f t="shared" si="67"/>
        <v>-93.665227934798907</v>
      </c>
      <c r="AW78" s="9"/>
      <c r="AX78" s="10">
        <v>43208</v>
      </c>
      <c r="AY78" s="9">
        <v>7295.2402339999999</v>
      </c>
      <c r="AZ78" s="11">
        <f t="shared" si="68"/>
        <v>1.9420329084452567E-3</v>
      </c>
      <c r="BA78" s="9">
        <f t="shared" si="50"/>
        <v>102.22348265394174</v>
      </c>
      <c r="BB78" s="9">
        <f t="shared" si="51"/>
        <v>0.62901045763620889</v>
      </c>
      <c r="BC78" s="9">
        <f t="shared" si="69"/>
        <v>-60.012164557561128</v>
      </c>
      <c r="BD78" s="9"/>
      <c r="BE78" s="10">
        <v>43395</v>
      </c>
      <c r="BF78" s="9">
        <v>7468.6298829999996</v>
      </c>
      <c r="BG78" s="11">
        <f t="shared" si="70"/>
        <v>2.631228302975552E-3</v>
      </c>
      <c r="BH78" s="9">
        <f t="shared" si="52"/>
        <v>95.433797455229367</v>
      </c>
      <c r="BI78" s="9">
        <f t="shared" si="53"/>
        <v>0.37798956982624538</v>
      </c>
      <c r="BJ78" s="9">
        <f t="shared" si="71"/>
        <v>-32.132723855568365</v>
      </c>
    </row>
    <row r="79" spans="1:62" x14ac:dyDescent="0.3">
      <c r="A79" s="10">
        <v>41890</v>
      </c>
      <c r="B79" s="9">
        <v>4592.2900390000004</v>
      </c>
      <c r="C79" s="11">
        <f t="shared" si="54"/>
        <v>2.0489509264434119E-3</v>
      </c>
      <c r="D79" s="9">
        <f t="shared" si="36"/>
        <v>108.69119529620428</v>
      </c>
      <c r="E79" s="9">
        <f t="shared" si="37"/>
        <v>0.93372082827665837</v>
      </c>
      <c r="F79" s="9">
        <f t="shared" si="55"/>
        <v>-91.952433539432803</v>
      </c>
      <c r="G79" s="9"/>
      <c r="H79" s="10">
        <v>42079</v>
      </c>
      <c r="I79" s="9">
        <v>4929.5097660000001</v>
      </c>
      <c r="J79" s="11">
        <f t="shared" si="56"/>
        <v>1.1854032787707865E-2</v>
      </c>
      <c r="K79" s="9">
        <f t="shared" si="38"/>
        <v>104.27638452429252</v>
      </c>
      <c r="L79" s="9">
        <f t="shared" si="39"/>
        <v>0.76478181119156119</v>
      </c>
      <c r="M79" s="9">
        <f t="shared" si="57"/>
        <v>-74.301683510960032</v>
      </c>
      <c r="N79" s="9"/>
      <c r="O79" s="10">
        <v>42265</v>
      </c>
      <c r="P79" s="9">
        <v>4827.2299800000001</v>
      </c>
      <c r="Q79" s="11">
        <f t="shared" si="58"/>
        <v>-1.3633202697519539E-2</v>
      </c>
      <c r="R79" s="9">
        <f t="shared" si="40"/>
        <v>96.277523496925483</v>
      </c>
      <c r="S79" s="9">
        <f t="shared" si="41"/>
        <v>0.3715440665790718</v>
      </c>
      <c r="T79" s="9">
        <f t="shared" si="59"/>
        <v>-33.890152160202192</v>
      </c>
      <c r="U79" s="9"/>
      <c r="V79" s="10">
        <v>42457</v>
      </c>
      <c r="W79" s="9">
        <v>4766.7900390000004</v>
      </c>
      <c r="X79" s="11">
        <f t="shared" si="60"/>
        <v>-1.4056690059703711E-3</v>
      </c>
      <c r="Y79" s="9">
        <f t="shared" si="42"/>
        <v>96.621441526225979</v>
      </c>
      <c r="Z79" s="9">
        <f t="shared" si="43"/>
        <v>0.37496874375715561</v>
      </c>
      <c r="AA79" s="9">
        <f t="shared" si="61"/>
        <v>-34.524695891445553</v>
      </c>
      <c r="AB79" s="9"/>
      <c r="AC79" s="10">
        <v>42642</v>
      </c>
      <c r="AD79" s="9">
        <v>5269.1499020000001</v>
      </c>
      <c r="AE79" s="11">
        <f t="shared" si="62"/>
        <v>-9.2882279589745313E-3</v>
      </c>
      <c r="AF79" s="9">
        <f t="shared" si="44"/>
        <v>108.92952641052416</v>
      </c>
      <c r="AG79" s="9">
        <f t="shared" si="45"/>
        <v>0.91956473810986317</v>
      </c>
      <c r="AH79" s="9">
        <f t="shared" si="63"/>
        <v>-91.007111514587621</v>
      </c>
      <c r="AI79" s="9"/>
      <c r="AJ79" s="10">
        <v>42831</v>
      </c>
      <c r="AK79" s="9">
        <v>5878.9501950000003</v>
      </c>
      <c r="AL79" s="11">
        <f t="shared" si="64"/>
        <v>2.4674336086658922E-3</v>
      </c>
      <c r="AM79" s="9">
        <f t="shared" si="46"/>
        <v>107.92173688055915</v>
      </c>
      <c r="AN79" s="9">
        <f t="shared" si="47"/>
        <v>0.95729347567606071</v>
      </c>
      <c r="AO79" s="9">
        <f t="shared" si="65"/>
        <v>-94.770080769458545</v>
      </c>
      <c r="AP79" s="9"/>
      <c r="AQ79" s="10">
        <v>43019</v>
      </c>
      <c r="AR79" s="9">
        <v>6603.5498049999997</v>
      </c>
      <c r="AS79" s="11">
        <f t="shared" si="66"/>
        <v>2.4744476071197619E-3</v>
      </c>
      <c r="AT79" s="9">
        <f t="shared" si="48"/>
        <v>107.54231614259295</v>
      </c>
      <c r="AU79" s="9">
        <f t="shared" si="49"/>
        <v>0.95092146141602585</v>
      </c>
      <c r="AV79" s="9">
        <f t="shared" si="67"/>
        <v>-94.37079830328571</v>
      </c>
      <c r="AW79" s="9"/>
      <c r="AX79" s="10">
        <v>43209</v>
      </c>
      <c r="AY79" s="9">
        <v>7238.0600590000004</v>
      </c>
      <c r="AZ79" s="11">
        <f t="shared" si="68"/>
        <v>-7.8380112464983848E-3</v>
      </c>
      <c r="BA79" s="9">
        <f t="shared" si="50"/>
        <v>101.42225384724391</v>
      </c>
      <c r="BB79" s="9">
        <f t="shared" si="51"/>
        <v>0.59555134109637198</v>
      </c>
      <c r="BC79" s="9">
        <f t="shared" si="69"/>
        <v>-56.621131850368378</v>
      </c>
      <c r="BD79" s="9"/>
      <c r="BE79" s="10">
        <v>43396</v>
      </c>
      <c r="BF79" s="9">
        <v>7437.5400390000004</v>
      </c>
      <c r="BG79" s="11">
        <f t="shared" si="70"/>
        <v>-4.1627238847068166E-3</v>
      </c>
      <c r="BH79" s="9">
        <f t="shared" si="52"/>
        <v>95.036532907154211</v>
      </c>
      <c r="BI79" s="9">
        <f t="shared" si="53"/>
        <v>0.36336226160513874</v>
      </c>
      <c r="BJ79" s="9">
        <f t="shared" si="71"/>
        <v>-30.743915746502651</v>
      </c>
    </row>
    <row r="80" spans="1:62" x14ac:dyDescent="0.3">
      <c r="A80" s="10">
        <v>41891</v>
      </c>
      <c r="B80" s="9">
        <v>4552.2900390000004</v>
      </c>
      <c r="C80" s="11">
        <f t="shared" si="54"/>
        <v>-8.7102512385542289E-3</v>
      </c>
      <c r="D80" s="9">
        <f t="shared" si="36"/>
        <v>107.74446767775558</v>
      </c>
      <c r="E80" s="9">
        <f t="shared" si="37"/>
        <v>0.91349696026722227</v>
      </c>
      <c r="F80" s="9">
        <f t="shared" si="55"/>
        <v>-89.777202591151678</v>
      </c>
      <c r="G80" s="9"/>
      <c r="H80" s="10">
        <v>42080</v>
      </c>
      <c r="I80" s="9">
        <v>4937.4301759999998</v>
      </c>
      <c r="J80" s="11">
        <f t="shared" si="56"/>
        <v>1.6067338084262799E-3</v>
      </c>
      <c r="K80" s="9">
        <f t="shared" si="38"/>
        <v>104.44392891672818</v>
      </c>
      <c r="L80" s="9">
        <f t="shared" si="39"/>
        <v>0.77326052652073607</v>
      </c>
      <c r="M80" s="9">
        <f t="shared" si="57"/>
        <v>-75.190287408692342</v>
      </c>
      <c r="N80" s="9"/>
      <c r="O80" s="10">
        <v>42268</v>
      </c>
      <c r="P80" s="9">
        <v>4828.9501950000003</v>
      </c>
      <c r="Q80" s="11">
        <f t="shared" si="58"/>
        <v>3.563565454986423E-4</v>
      </c>
      <c r="R80" s="9">
        <f t="shared" si="40"/>
        <v>96.311832622608009</v>
      </c>
      <c r="S80" s="9">
        <f t="shared" si="41"/>
        <v>0.36957291319957053</v>
      </c>
      <c r="T80" s="9">
        <f t="shared" si="59"/>
        <v>-33.704485261352936</v>
      </c>
      <c r="U80" s="9"/>
      <c r="V80" s="10">
        <v>42458</v>
      </c>
      <c r="W80" s="9">
        <v>4846.6201170000004</v>
      </c>
      <c r="X80" s="11">
        <f t="shared" si="60"/>
        <v>1.6747135356678534E-2</v>
      </c>
      <c r="Y80" s="9">
        <f t="shared" si="42"/>
        <v>98.239573885823077</v>
      </c>
      <c r="Z80" s="9">
        <f t="shared" si="43"/>
        <v>0.44946187482329802</v>
      </c>
      <c r="AA80" s="9">
        <f t="shared" si="61"/>
        <v>-41.844288197077276</v>
      </c>
      <c r="AB80" s="9"/>
      <c r="AC80" s="10">
        <v>42643</v>
      </c>
      <c r="AD80" s="9">
        <v>5312</v>
      </c>
      <c r="AE80" s="11">
        <f t="shared" si="62"/>
        <v>8.1322601931927141E-3</v>
      </c>
      <c r="AF80" s="9">
        <f t="shared" si="44"/>
        <v>109.8153696620158</v>
      </c>
      <c r="AG80" s="9">
        <f t="shared" si="45"/>
        <v>0.93762401445900201</v>
      </c>
      <c r="AH80" s="9">
        <f t="shared" si="63"/>
        <v>-92.994037717828959</v>
      </c>
      <c r="AI80" s="9"/>
      <c r="AJ80" s="10">
        <v>42832</v>
      </c>
      <c r="AK80" s="9">
        <v>5877.8100590000004</v>
      </c>
      <c r="AL80" s="11">
        <f t="shared" si="64"/>
        <v>-1.9393530514506834E-4</v>
      </c>
      <c r="AM80" s="9">
        <f t="shared" si="46"/>
        <v>107.90080704558542</v>
      </c>
      <c r="AN80" s="9">
        <f t="shared" si="47"/>
        <v>0.95774726062751558</v>
      </c>
      <c r="AO80" s="9">
        <f t="shared" si="65"/>
        <v>-94.822939272827568</v>
      </c>
      <c r="AP80" s="9"/>
      <c r="AQ80" s="10">
        <v>43020</v>
      </c>
      <c r="AR80" s="9">
        <v>6591.5097660000001</v>
      </c>
      <c r="AS80" s="11">
        <f t="shared" si="66"/>
        <v>-1.8232676901873575E-3</v>
      </c>
      <c r="AT80" s="9">
        <f t="shared" si="48"/>
        <v>107.34623771224226</v>
      </c>
      <c r="AU80" s="9">
        <f t="shared" si="49"/>
        <v>0.9477300787707772</v>
      </c>
      <c r="AV80" s="9">
        <f t="shared" si="67"/>
        <v>-94.032093714894387</v>
      </c>
      <c r="AW80" s="9"/>
      <c r="AX80" s="10">
        <v>43210</v>
      </c>
      <c r="AY80" s="9">
        <v>7146.1298829999996</v>
      </c>
      <c r="AZ80" s="11">
        <f t="shared" si="68"/>
        <v>-1.2700941308948145E-2</v>
      </c>
      <c r="BA80" s="9">
        <f t="shared" si="50"/>
        <v>100.13409575370882</v>
      </c>
      <c r="BB80" s="9">
        <f t="shared" si="51"/>
        <v>0.53900605684839364</v>
      </c>
      <c r="BC80" s="9">
        <f t="shared" si="69"/>
        <v>-50.961347886703678</v>
      </c>
      <c r="BD80" s="9"/>
      <c r="BE80" s="10">
        <v>43397</v>
      </c>
      <c r="BF80" s="9">
        <v>7108.3999020000001</v>
      </c>
      <c r="BG80" s="11">
        <f t="shared" si="70"/>
        <v>-4.4253897831016478E-2</v>
      </c>
      <c r="BH80" s="9">
        <f t="shared" si="52"/>
        <v>90.830795889666973</v>
      </c>
      <c r="BI80" s="9">
        <f t="shared" si="53"/>
        <v>0.228351250509926</v>
      </c>
      <c r="BJ80" s="9">
        <f t="shared" si="71"/>
        <v>-18.482021629409768</v>
      </c>
    </row>
    <row r="81" spans="1:62" x14ac:dyDescent="0.3">
      <c r="A81" s="10">
        <v>41892</v>
      </c>
      <c r="B81" s="9">
        <v>4586.5200199999999</v>
      </c>
      <c r="C81" s="11">
        <f t="shared" si="54"/>
        <v>7.5192882498143244E-3</v>
      </c>
      <c r="D81" s="9">
        <f t="shared" si="36"/>
        <v>108.55462938754744</v>
      </c>
      <c r="E81" s="9">
        <f t="shared" si="37"/>
        <v>0.93308875956906323</v>
      </c>
      <c r="F81" s="9">
        <f t="shared" si="55"/>
        <v>-91.907672653289467</v>
      </c>
      <c r="G81" s="9"/>
      <c r="H81" s="10">
        <v>42081</v>
      </c>
      <c r="I81" s="9">
        <v>4982.830078</v>
      </c>
      <c r="J81" s="11">
        <f t="shared" si="56"/>
        <v>9.1950468931553172E-3</v>
      </c>
      <c r="K81" s="9">
        <f t="shared" si="38"/>
        <v>105.40429574082289</v>
      </c>
      <c r="L81" s="9">
        <f t="shared" si="39"/>
        <v>0.81432536501609143</v>
      </c>
      <c r="M81" s="9">
        <f t="shared" si="57"/>
        <v>-79.521787865311467</v>
      </c>
      <c r="N81" s="9"/>
      <c r="O81" s="10">
        <v>42269</v>
      </c>
      <c r="P81" s="9">
        <v>4756.7202150000003</v>
      </c>
      <c r="Q81" s="11">
        <f t="shared" si="58"/>
        <v>-1.4957698274624691E-2</v>
      </c>
      <c r="R81" s="9">
        <f t="shared" si="40"/>
        <v>94.871229289962884</v>
      </c>
      <c r="S81" s="9">
        <f t="shared" si="41"/>
        <v>0.30733348142068212</v>
      </c>
      <c r="T81" s="9">
        <f t="shared" si="59"/>
        <v>-27.801139002475342</v>
      </c>
      <c r="U81" s="9"/>
      <c r="V81" s="10">
        <v>42459</v>
      </c>
      <c r="W81" s="9">
        <v>4869.2900390000004</v>
      </c>
      <c r="X81" s="11">
        <f t="shared" si="60"/>
        <v>4.6774703716685045E-3</v>
      </c>
      <c r="Y81" s="9">
        <f t="shared" si="42"/>
        <v>98.699086581999367</v>
      </c>
      <c r="Z81" s="9">
        <f t="shared" si="43"/>
        <v>0.47058783882664001</v>
      </c>
      <c r="AA81" s="9">
        <f t="shared" si="61"/>
        <v>-43.931121210988707</v>
      </c>
      <c r="AB81" s="9"/>
      <c r="AC81" s="10">
        <v>42646</v>
      </c>
      <c r="AD81" s="9">
        <v>5300.8701170000004</v>
      </c>
      <c r="AE81" s="11">
        <f t="shared" si="62"/>
        <v>-2.0952339984939023E-3</v>
      </c>
      <c r="AF81" s="9">
        <f t="shared" si="44"/>
        <v>109.58528076594278</v>
      </c>
      <c r="AG81" s="9">
        <f t="shared" si="45"/>
        <v>0.93671264852639269</v>
      </c>
      <c r="AH81" s="9">
        <f t="shared" si="63"/>
        <v>-92.905631151348985</v>
      </c>
      <c r="AI81" s="9"/>
      <c r="AJ81" s="10">
        <v>42835</v>
      </c>
      <c r="AK81" s="9">
        <v>5880.9301759999998</v>
      </c>
      <c r="AL81" s="11">
        <f t="shared" si="64"/>
        <v>5.3082984456464578E-4</v>
      </c>
      <c r="AM81" s="9">
        <f t="shared" si="46"/>
        <v>107.95808401421785</v>
      </c>
      <c r="AN81" s="9">
        <f t="shared" si="47"/>
        <v>0.96123484126184988</v>
      </c>
      <c r="AO81" s="9">
        <f t="shared" si="65"/>
        <v>-95.211143015994637</v>
      </c>
      <c r="AP81" s="9"/>
      <c r="AQ81" s="10">
        <v>43021</v>
      </c>
      <c r="AR81" s="9">
        <v>6605.7998049999997</v>
      </c>
      <c r="AS81" s="11">
        <f t="shared" si="66"/>
        <v>2.1679462683510987E-3</v>
      </c>
      <c r="AT81" s="9">
        <f t="shared" si="48"/>
        <v>107.57895858771202</v>
      </c>
      <c r="AU81" s="9">
        <f t="shared" si="49"/>
        <v>0.95339491473370996</v>
      </c>
      <c r="AV81" s="9">
        <f t="shared" si="67"/>
        <v>-94.645375280380506</v>
      </c>
      <c r="AW81" s="9"/>
      <c r="AX81" s="10">
        <v>43213</v>
      </c>
      <c r="AY81" s="9">
        <v>7128.6000979999999</v>
      </c>
      <c r="AZ81" s="11">
        <f t="shared" si="68"/>
        <v>-2.4530459545244903E-3</v>
      </c>
      <c r="BA81" s="9">
        <f t="shared" si="50"/>
        <v>99.888462215210225</v>
      </c>
      <c r="BB81" s="9">
        <f t="shared" si="51"/>
        <v>0.52728428967260266</v>
      </c>
      <c r="BC81" s="9">
        <f t="shared" si="69"/>
        <v>-49.796761882291371</v>
      </c>
      <c r="BD81" s="9"/>
      <c r="BE81" s="10">
        <v>43398</v>
      </c>
      <c r="BF81" s="9">
        <v>7318.3398440000001</v>
      </c>
      <c r="BG81" s="11">
        <f t="shared" si="70"/>
        <v>2.9534064612899993E-2</v>
      </c>
      <c r="BH81" s="9">
        <f t="shared" si="52"/>
        <v>93.513398484313527</v>
      </c>
      <c r="BI81" s="9">
        <f t="shared" si="53"/>
        <v>0.3098208248722748</v>
      </c>
      <c r="BJ81" s="9">
        <f t="shared" si="71"/>
        <v>-26.101277951846058</v>
      </c>
    </row>
    <row r="82" spans="1:62" x14ac:dyDescent="0.3">
      <c r="A82" s="10">
        <v>41893</v>
      </c>
      <c r="B82" s="9">
        <v>4591.8100590000004</v>
      </c>
      <c r="C82" s="11">
        <f t="shared" si="54"/>
        <v>1.153388402739477E-3</v>
      </c>
      <c r="D82" s="9">
        <f t="shared" si="36"/>
        <v>108.67983503814671</v>
      </c>
      <c r="E82" s="9">
        <f t="shared" si="37"/>
        <v>0.93670425896626641</v>
      </c>
      <c r="F82" s="9">
        <f t="shared" si="55"/>
        <v>-92.304381636612533</v>
      </c>
      <c r="G82" s="9"/>
      <c r="H82" s="10">
        <v>42082</v>
      </c>
      <c r="I82" s="9">
        <v>4992.3798829999996</v>
      </c>
      <c r="J82" s="11">
        <f t="shared" si="56"/>
        <v>1.9165423766231932E-3</v>
      </c>
      <c r="K82" s="9">
        <f t="shared" si="38"/>
        <v>105.60630754028828</v>
      </c>
      <c r="L82" s="9">
        <f t="shared" si="39"/>
        <v>0.82330883575842884</v>
      </c>
      <c r="M82" s="9">
        <f t="shared" si="57"/>
        <v>-80.473767125137314</v>
      </c>
      <c r="N82" s="9"/>
      <c r="O82" s="10">
        <v>42270</v>
      </c>
      <c r="P82" s="9">
        <v>4752.7402339999999</v>
      </c>
      <c r="Q82" s="11">
        <f t="shared" si="58"/>
        <v>-8.3670697878126241E-4</v>
      </c>
      <c r="R82" s="9">
        <f t="shared" si="40"/>
        <v>94.791849870330395</v>
      </c>
      <c r="S82" s="9">
        <f t="shared" si="41"/>
        <v>0.30256943028298844</v>
      </c>
      <c r="T82" s="9">
        <f t="shared" si="59"/>
        <v>-27.350688318294857</v>
      </c>
      <c r="U82" s="9"/>
      <c r="V82" s="10">
        <v>42460</v>
      </c>
      <c r="W82" s="9">
        <v>4869.8500979999999</v>
      </c>
      <c r="X82" s="11">
        <f t="shared" si="60"/>
        <v>1.150186157558349E-4</v>
      </c>
      <c r="Y82" s="9">
        <f t="shared" si="42"/>
        <v>98.710438814314401</v>
      </c>
      <c r="Z82" s="9">
        <f t="shared" si="43"/>
        <v>0.4705345697192066</v>
      </c>
      <c r="AA82" s="9">
        <f t="shared" si="61"/>
        <v>-43.927668419659156</v>
      </c>
      <c r="AB82" s="9"/>
      <c r="AC82" s="10">
        <v>42647</v>
      </c>
      <c r="AD82" s="9">
        <v>5289.6601559999999</v>
      </c>
      <c r="AE82" s="11">
        <f t="shared" si="62"/>
        <v>-2.1147397979154213E-3</v>
      </c>
      <c r="AF82" s="9">
        <f t="shared" si="44"/>
        <v>109.3535364114413</v>
      </c>
      <c r="AG82" s="9">
        <f t="shared" si="45"/>
        <v>0.93355801436014807</v>
      </c>
      <c r="AH82" s="9">
        <f t="shared" si="63"/>
        <v>-92.564478867276065</v>
      </c>
      <c r="AI82" s="9"/>
      <c r="AJ82" s="10">
        <v>42836</v>
      </c>
      <c r="AK82" s="9">
        <v>5866.7700199999999</v>
      </c>
      <c r="AL82" s="11">
        <f t="shared" si="64"/>
        <v>-2.4078088969305108E-3</v>
      </c>
      <c r="AM82" s="9">
        <f t="shared" si="46"/>
        <v>107.69814157903284</v>
      </c>
      <c r="AN82" s="9">
        <f t="shared" si="47"/>
        <v>0.95748519230300821</v>
      </c>
      <c r="AO82" s="9">
        <f t="shared" si="65"/>
        <v>-94.81122565865374</v>
      </c>
      <c r="AP82" s="9"/>
      <c r="AQ82" s="10">
        <v>43024</v>
      </c>
      <c r="AR82" s="9">
        <v>6624</v>
      </c>
      <c r="AS82" s="11">
        <f t="shared" si="66"/>
        <v>2.7551841619881411E-3</v>
      </c>
      <c r="AT82" s="9">
        <f t="shared" si="48"/>
        <v>107.87535843057607</v>
      </c>
      <c r="AU82" s="9">
        <f t="shared" si="49"/>
        <v>0.9613856757933642</v>
      </c>
      <c r="AV82" s="9">
        <f t="shared" si="67"/>
        <v>-95.519050821062393</v>
      </c>
      <c r="AW82" s="9"/>
      <c r="AX82" s="10">
        <v>43214</v>
      </c>
      <c r="AY82" s="9">
        <v>7007.3500979999999</v>
      </c>
      <c r="AZ82" s="11">
        <f t="shared" si="68"/>
        <v>-1.7008949630098889E-2</v>
      </c>
      <c r="BA82" s="9">
        <f t="shared" si="50"/>
        <v>98.189464392763682</v>
      </c>
      <c r="BB82" s="9">
        <f t="shared" si="51"/>
        <v>0.44798398727885524</v>
      </c>
      <c r="BC82" s="9">
        <f t="shared" si="69"/>
        <v>-42.012354148385008</v>
      </c>
      <c r="BD82" s="9"/>
      <c r="BE82" s="10">
        <v>43399</v>
      </c>
      <c r="BF82" s="9">
        <v>7167.2099609999996</v>
      </c>
      <c r="BG82" s="11">
        <f t="shared" si="70"/>
        <v>-2.0650842434422553E-2</v>
      </c>
      <c r="BH82" s="9">
        <f t="shared" si="52"/>
        <v>91.5822680267066</v>
      </c>
      <c r="BI82" s="9">
        <f t="shared" si="53"/>
        <v>0.24725969683898408</v>
      </c>
      <c r="BJ82" s="9">
        <f t="shared" si="71"/>
        <v>-20.372860633547575</v>
      </c>
    </row>
    <row r="83" spans="1:62" x14ac:dyDescent="0.3">
      <c r="A83" s="10">
        <v>41894</v>
      </c>
      <c r="B83" s="9">
        <v>4567.6000979999999</v>
      </c>
      <c r="C83" s="11">
        <f t="shared" si="54"/>
        <v>-5.2724221361353293E-3</v>
      </c>
      <c r="D83" s="9">
        <f t="shared" si="36"/>
        <v>108.10682907014004</v>
      </c>
      <c r="E83" s="9">
        <f t="shared" si="37"/>
        <v>0.9256621516690382</v>
      </c>
      <c r="F83" s="9">
        <f t="shared" si="55"/>
        <v>-91.114447839155332</v>
      </c>
      <c r="G83" s="9"/>
      <c r="H83" s="10">
        <v>42083</v>
      </c>
      <c r="I83" s="9">
        <v>5026.419922</v>
      </c>
      <c r="J83" s="11">
        <f t="shared" si="56"/>
        <v>6.8183991999313243E-3</v>
      </c>
      <c r="K83" s="9">
        <f t="shared" si="38"/>
        <v>106.32637350312868</v>
      </c>
      <c r="L83" s="9">
        <f t="shared" si="39"/>
        <v>0.85050769532639214</v>
      </c>
      <c r="M83" s="9">
        <f t="shared" si="57"/>
        <v>-83.369030435490345</v>
      </c>
      <c r="N83" s="9"/>
      <c r="O83" s="10">
        <v>42271</v>
      </c>
      <c r="P83" s="9">
        <v>4734.4799800000001</v>
      </c>
      <c r="Q83" s="11">
        <f t="shared" si="58"/>
        <v>-3.8420475559278809E-3</v>
      </c>
      <c r="R83" s="9">
        <f t="shared" si="40"/>
        <v>94.427655075214219</v>
      </c>
      <c r="S83" s="9">
        <f t="shared" si="41"/>
        <v>0.28613964220489474</v>
      </c>
      <c r="T83" s="9">
        <f t="shared" si="59"/>
        <v>-25.800385980683775</v>
      </c>
      <c r="U83" s="9"/>
      <c r="V83" s="10">
        <v>42461</v>
      </c>
      <c r="W83" s="9">
        <v>4914.5400390000004</v>
      </c>
      <c r="X83" s="11">
        <f t="shared" si="60"/>
        <v>9.1768617309913227E-3</v>
      </c>
      <c r="Y83" s="9">
        <f t="shared" si="42"/>
        <v>99.616290862718841</v>
      </c>
      <c r="Z83" s="9">
        <f t="shared" si="43"/>
        <v>0.51344865936224249</v>
      </c>
      <c r="AA83" s="9">
        <f t="shared" si="61"/>
        <v>-48.204416139390602</v>
      </c>
      <c r="AB83" s="9"/>
      <c r="AC83" s="10">
        <v>42648</v>
      </c>
      <c r="AD83" s="9">
        <v>5316.0200199999999</v>
      </c>
      <c r="AE83" s="11">
        <f t="shared" si="62"/>
        <v>4.9832811981503824E-3</v>
      </c>
      <c r="AF83" s="9">
        <f t="shared" si="44"/>
        <v>109.8984758333917</v>
      </c>
      <c r="AG83" s="9">
        <f t="shared" si="45"/>
        <v>0.94419148897388616</v>
      </c>
      <c r="AH83" s="9">
        <f t="shared" si="63"/>
        <v>-93.736885617984271</v>
      </c>
      <c r="AI83" s="9"/>
      <c r="AJ83" s="10">
        <v>42837</v>
      </c>
      <c r="AK83" s="9">
        <v>5836.1601559999999</v>
      </c>
      <c r="AL83" s="11">
        <f t="shared" si="64"/>
        <v>-5.2174985376365604E-3</v>
      </c>
      <c r="AM83" s="9">
        <f t="shared" si="46"/>
        <v>107.13622668283804</v>
      </c>
      <c r="AN83" s="9">
        <f t="shared" si="47"/>
        <v>0.94700117537889672</v>
      </c>
      <c r="AO83" s="9">
        <f t="shared" si="65"/>
        <v>-93.691904076727923</v>
      </c>
      <c r="AP83" s="9"/>
      <c r="AQ83" s="10">
        <v>43025</v>
      </c>
      <c r="AR83" s="9">
        <v>6623.6601559999999</v>
      </c>
      <c r="AS83" s="11">
        <f t="shared" si="66"/>
        <v>-5.1304951690834031E-5</v>
      </c>
      <c r="AT83" s="9">
        <f t="shared" si="48"/>
        <v>107.86982389052318</v>
      </c>
      <c r="AU83" s="9">
        <f t="shared" si="49"/>
        <v>0.96211787939935667</v>
      </c>
      <c r="AV83" s="9">
        <f t="shared" si="67"/>
        <v>-95.601959016198336</v>
      </c>
      <c r="AW83" s="9"/>
      <c r="AX83" s="10">
        <v>43215</v>
      </c>
      <c r="AY83" s="9">
        <v>7003.7402339999999</v>
      </c>
      <c r="AZ83" s="11">
        <f t="shared" si="68"/>
        <v>-5.15153938295494E-4</v>
      </c>
      <c r="BA83" s="9">
        <f t="shared" si="50"/>
        <v>98.13888170348261</v>
      </c>
      <c r="BB83" s="9">
        <f t="shared" si="51"/>
        <v>0.44487336894649826</v>
      </c>
      <c r="BC83" s="9">
        <f t="shared" si="69"/>
        <v>-41.708808114420357</v>
      </c>
      <c r="BD83" s="9"/>
      <c r="BE83" s="10">
        <v>43402</v>
      </c>
      <c r="BF83" s="9">
        <v>7050.2900390000004</v>
      </c>
      <c r="BG83" s="11">
        <f t="shared" si="70"/>
        <v>-1.6313171043713357E-2</v>
      </c>
      <c r="BH83" s="9">
        <f t="shared" si="52"/>
        <v>90.088270823815733</v>
      </c>
      <c r="BI83" s="9">
        <f t="shared" si="53"/>
        <v>0.19884498266920372</v>
      </c>
      <c r="BJ83" s="9">
        <f t="shared" si="71"/>
        <v>-16.013774628945214</v>
      </c>
    </row>
    <row r="84" spans="1:62" x14ac:dyDescent="0.3">
      <c r="A84" s="10">
        <v>41897</v>
      </c>
      <c r="B84" s="9">
        <v>4518.8999020000001</v>
      </c>
      <c r="C84" s="11">
        <f t="shared" si="54"/>
        <v>-1.0662097152796712E-2</v>
      </c>
      <c r="D84" s="9">
        <f t="shared" si="36"/>
        <v>106.95418355571343</v>
      </c>
      <c r="E84" s="9">
        <f t="shared" si="37"/>
        <v>0.89956046606905049</v>
      </c>
      <c r="F84" s="9">
        <f t="shared" si="55"/>
        <v>-88.333997346961922</v>
      </c>
      <c r="G84" s="9"/>
      <c r="H84" s="10">
        <v>42086</v>
      </c>
      <c r="I84" s="9">
        <v>5010.9702150000003</v>
      </c>
      <c r="J84" s="11">
        <f t="shared" si="56"/>
        <v>-3.07370001705953E-3</v>
      </c>
      <c r="K84" s="9">
        <f t="shared" si="38"/>
        <v>105.99955812707825</v>
      </c>
      <c r="L84" s="9">
        <f t="shared" si="39"/>
        <v>0.84293709037846398</v>
      </c>
      <c r="M84" s="9">
        <f t="shared" si="57"/>
        <v>-82.57682866349505</v>
      </c>
      <c r="N84" s="9"/>
      <c r="O84" s="10">
        <v>42272</v>
      </c>
      <c r="P84" s="9">
        <v>4686.5</v>
      </c>
      <c r="Q84" s="11">
        <f t="shared" si="58"/>
        <v>-1.0134160499713439E-2</v>
      </c>
      <c r="R84" s="9">
        <f t="shared" si="40"/>
        <v>93.470710063070413</v>
      </c>
      <c r="S84" s="9">
        <f t="shared" si="41"/>
        <v>0.24675452639637074</v>
      </c>
      <c r="T84" s="9">
        <f t="shared" si="59"/>
        <v>-22.120091551766674</v>
      </c>
      <c r="U84" s="9"/>
      <c r="V84" s="10">
        <v>42464</v>
      </c>
      <c r="W84" s="9">
        <v>4891.7998049999997</v>
      </c>
      <c r="X84" s="11">
        <f t="shared" si="60"/>
        <v>-4.6271337336846506E-3</v>
      </c>
      <c r="Y84" s="9">
        <f t="shared" si="42"/>
        <v>99.155352962843395</v>
      </c>
      <c r="Z84" s="9">
        <f t="shared" si="43"/>
        <v>0.48990660298821626</v>
      </c>
      <c r="AA84" s="9">
        <f t="shared" si="61"/>
        <v>-45.876038606726851</v>
      </c>
      <c r="AB84" s="9"/>
      <c r="AC84" s="10">
        <v>42649</v>
      </c>
      <c r="AD84" s="9">
        <v>5306.8500979999999</v>
      </c>
      <c r="AE84" s="11">
        <f t="shared" si="62"/>
        <v>-1.724960019996321E-3</v>
      </c>
      <c r="AF84" s="9">
        <f t="shared" si="44"/>
        <v>109.70890535632056</v>
      </c>
      <c r="AG84" s="9">
        <f t="shared" si="45"/>
        <v>0.9420879094820811</v>
      </c>
      <c r="AH84" s="9">
        <f t="shared" si="63"/>
        <v>-93.509956494543033</v>
      </c>
      <c r="AI84" s="9"/>
      <c r="AJ84" s="10">
        <v>42838</v>
      </c>
      <c r="AK84" s="9">
        <v>5805.1499020000001</v>
      </c>
      <c r="AL84" s="11">
        <f t="shared" si="64"/>
        <v>-5.3134686456674761E-3</v>
      </c>
      <c r="AM84" s="9">
        <f t="shared" si="46"/>
        <v>106.56696170154368</v>
      </c>
      <c r="AN84" s="9">
        <f t="shared" si="47"/>
        <v>0.93412423816185874</v>
      </c>
      <c r="AO84" s="9">
        <f t="shared" si="65"/>
        <v>-92.323498432826881</v>
      </c>
      <c r="AP84" s="9"/>
      <c r="AQ84" s="10">
        <v>43026</v>
      </c>
      <c r="AR84" s="9">
        <v>6624.2202150000003</v>
      </c>
      <c r="AS84" s="11">
        <f t="shared" si="66"/>
        <v>8.4554307861498464E-5</v>
      </c>
      <c r="AT84" s="9">
        <f t="shared" si="48"/>
        <v>107.87894474882135</v>
      </c>
      <c r="AU84" s="9">
        <f t="shared" si="49"/>
        <v>0.96309914200431967</v>
      </c>
      <c r="AV84" s="9">
        <f t="shared" si="67"/>
        <v>-95.711745518904877</v>
      </c>
      <c r="AW84" s="9"/>
      <c r="AX84" s="10">
        <v>43216</v>
      </c>
      <c r="AY84" s="9">
        <v>7118.6801759999998</v>
      </c>
      <c r="AZ84" s="11">
        <f t="shared" si="68"/>
        <v>1.6411222883741233E-2</v>
      </c>
      <c r="BA84" s="9">
        <f t="shared" si="50"/>
        <v>99.749460764679583</v>
      </c>
      <c r="BB84" s="9">
        <f t="shared" si="51"/>
        <v>0.52006982981762717</v>
      </c>
      <c r="BC84" s="9">
        <f t="shared" si="69"/>
        <v>-49.211328633556136</v>
      </c>
      <c r="BD84" s="9"/>
      <c r="BE84" s="10">
        <v>43403</v>
      </c>
      <c r="BF84" s="9">
        <v>7161.6499020000001</v>
      </c>
      <c r="BG84" s="11">
        <f t="shared" si="70"/>
        <v>1.5795075434342661E-2</v>
      </c>
      <c r="BH84" s="9">
        <f t="shared" si="52"/>
        <v>91.511221857227397</v>
      </c>
      <c r="BI84" s="9">
        <f t="shared" si="53"/>
        <v>0.23839281378590477</v>
      </c>
      <c r="BJ84" s="9">
        <f t="shared" si="71"/>
        <v>-19.633503090087817</v>
      </c>
    </row>
    <row r="85" spans="1:62" x14ac:dyDescent="0.3">
      <c r="A85" s="10">
        <v>41898</v>
      </c>
      <c r="B85" s="9">
        <v>4552.7597660000001</v>
      </c>
      <c r="C85" s="11">
        <f t="shared" si="54"/>
        <v>7.4929440205157294E-3</v>
      </c>
      <c r="D85" s="9">
        <f t="shared" si="36"/>
        <v>107.75558526585635</v>
      </c>
      <c r="E85" s="9">
        <f t="shared" si="37"/>
        <v>0.92226332184235893</v>
      </c>
      <c r="F85" s="9">
        <f t="shared" si="55"/>
        <v>-90.783987096889049</v>
      </c>
      <c r="G85" s="9"/>
      <c r="H85" s="10">
        <v>42087</v>
      </c>
      <c r="I85" s="9">
        <v>4994.7299800000001</v>
      </c>
      <c r="J85" s="11">
        <f t="shared" si="56"/>
        <v>-3.2409362465149298E-3</v>
      </c>
      <c r="K85" s="9">
        <f t="shared" si="38"/>
        <v>105.65602031702963</v>
      </c>
      <c r="L85" s="9">
        <f t="shared" si="39"/>
        <v>0.83153982334564758</v>
      </c>
      <c r="M85" s="9">
        <f t="shared" si="57"/>
        <v>-81.376032424350228</v>
      </c>
      <c r="N85" s="9"/>
      <c r="O85" s="10">
        <v>42275</v>
      </c>
      <c r="P85" s="9">
        <v>4543.9702150000003</v>
      </c>
      <c r="Q85" s="11">
        <f t="shared" si="58"/>
        <v>-3.0412842206337293E-2</v>
      </c>
      <c r="R85" s="9">
        <f t="shared" si="40"/>
        <v>90.628000107007949</v>
      </c>
      <c r="S85" s="9">
        <f t="shared" si="41"/>
        <v>0.14490040408791183</v>
      </c>
      <c r="T85" s="9">
        <f t="shared" si="59"/>
        <v>-12.891983446989281</v>
      </c>
      <c r="U85" s="9"/>
      <c r="V85" s="10">
        <v>42465</v>
      </c>
      <c r="W85" s="9">
        <v>4843.9301759999998</v>
      </c>
      <c r="X85" s="11">
        <f t="shared" si="60"/>
        <v>-9.7856884803567325E-3</v>
      </c>
      <c r="Y85" s="9">
        <f t="shared" si="42"/>
        <v>98.185049567589203</v>
      </c>
      <c r="Z85" s="9">
        <f t="shared" si="43"/>
        <v>0.44147838972863496</v>
      </c>
      <c r="AA85" s="9">
        <f t="shared" si="61"/>
        <v>-41.122997442760067</v>
      </c>
      <c r="AB85" s="9"/>
      <c r="AC85" s="10">
        <v>42650</v>
      </c>
      <c r="AD85" s="9">
        <v>5292.3999020000001</v>
      </c>
      <c r="AE85" s="11">
        <f t="shared" si="62"/>
        <v>-2.7229327629671777E-3</v>
      </c>
      <c r="AF85" s="9">
        <f t="shared" si="44"/>
        <v>109.41017538353657</v>
      </c>
      <c r="AG85" s="9">
        <f t="shared" si="45"/>
        <v>0.93794444082442585</v>
      </c>
      <c r="AH85" s="9">
        <f t="shared" si="63"/>
        <v>-93.060461815901476</v>
      </c>
      <c r="AI85" s="9"/>
      <c r="AJ85" s="10">
        <v>42842</v>
      </c>
      <c r="AK85" s="9">
        <v>5856.7900390000004</v>
      </c>
      <c r="AL85" s="11">
        <f t="shared" si="64"/>
        <v>8.8955733911727543E-3</v>
      </c>
      <c r="AM85" s="9">
        <f t="shared" si="46"/>
        <v>107.51493593043404</v>
      </c>
      <c r="AN85" s="9">
        <f t="shared" si="47"/>
        <v>0.95953230440901449</v>
      </c>
      <c r="AO85" s="9">
        <f t="shared" si="65"/>
        <v>-95.070422760450924</v>
      </c>
      <c r="AP85" s="9"/>
      <c r="AQ85" s="10">
        <v>43027</v>
      </c>
      <c r="AR85" s="9">
        <v>6605.0698240000002</v>
      </c>
      <c r="AS85" s="11">
        <f t="shared" si="66"/>
        <v>-2.8909653330418646E-3</v>
      </c>
      <c r="AT85" s="9">
        <f t="shared" si="48"/>
        <v>107.56707045938738</v>
      </c>
      <c r="AU85" s="9">
        <f t="shared" si="49"/>
        <v>0.95846271727364307</v>
      </c>
      <c r="AV85" s="9">
        <f t="shared" si="67"/>
        <v>-95.216952333448972</v>
      </c>
      <c r="AW85" s="9"/>
      <c r="AX85" s="10">
        <v>43217</v>
      </c>
      <c r="AY85" s="9">
        <v>7119.7998049999997</v>
      </c>
      <c r="AZ85" s="11">
        <f t="shared" si="68"/>
        <v>1.5728041888642987E-4</v>
      </c>
      <c r="BA85" s="9">
        <f t="shared" si="50"/>
        <v>99.765149401652351</v>
      </c>
      <c r="BB85" s="9">
        <f t="shared" si="51"/>
        <v>0.52052558927715209</v>
      </c>
      <c r="BC85" s="9">
        <f t="shared" si="69"/>
        <v>-49.258819969051743</v>
      </c>
      <c r="BD85" s="9"/>
      <c r="BE85" s="10">
        <v>43404</v>
      </c>
      <c r="BF85" s="9">
        <v>7305.8999020000001</v>
      </c>
      <c r="BG85" s="11">
        <f t="shared" si="70"/>
        <v>2.0142006656834199E-2</v>
      </c>
      <c r="BH85" s="9">
        <f t="shared" si="52"/>
        <v>93.354441497050701</v>
      </c>
      <c r="BI85" s="9">
        <f t="shared" si="53"/>
        <v>0.2956510791634932</v>
      </c>
      <c r="BJ85" s="9">
        <f t="shared" si="71"/>
        <v>-24.979623348373337</v>
      </c>
    </row>
    <row r="86" spans="1:62" x14ac:dyDescent="0.3">
      <c r="A86" s="10">
        <v>41899</v>
      </c>
      <c r="B86" s="9">
        <v>4562.1899409999996</v>
      </c>
      <c r="C86" s="11">
        <f t="shared" si="54"/>
        <v>2.0713095978452528E-3</v>
      </c>
      <c r="D86" s="9">
        <f t="shared" si="36"/>
        <v>107.97878044383896</v>
      </c>
      <c r="E86" s="9">
        <f t="shared" si="37"/>
        <v>0.92874510273066713</v>
      </c>
      <c r="F86" s="9">
        <f t="shared" si="55"/>
        <v>-91.487612817759867</v>
      </c>
      <c r="G86" s="9"/>
      <c r="H86" s="10">
        <v>42088</v>
      </c>
      <c r="I86" s="9">
        <v>4876.5200199999999</v>
      </c>
      <c r="J86" s="11">
        <f t="shared" si="56"/>
        <v>-2.366693704631459E-2</v>
      </c>
      <c r="K86" s="9">
        <f t="shared" si="38"/>
        <v>103.15546593562235</v>
      </c>
      <c r="L86" s="9">
        <f t="shared" si="39"/>
        <v>0.71915722520818237</v>
      </c>
      <c r="M86" s="9">
        <f t="shared" si="57"/>
        <v>-69.786497439652578</v>
      </c>
      <c r="N86" s="9"/>
      <c r="O86" s="10">
        <v>42276</v>
      </c>
      <c r="P86" s="9">
        <v>4517.3198240000002</v>
      </c>
      <c r="Q86" s="11">
        <f t="shared" si="58"/>
        <v>-5.8650012519943697E-3</v>
      </c>
      <c r="R86" s="9">
        <f t="shared" si="40"/>
        <v>90.09646677291461</v>
      </c>
      <c r="S86" s="9">
        <f t="shared" si="41"/>
        <v>0.12811145783617739</v>
      </c>
      <c r="T86" s="9">
        <f t="shared" si="59"/>
        <v>-11.379888527293161</v>
      </c>
      <c r="U86" s="9"/>
      <c r="V86" s="10">
        <v>42466</v>
      </c>
      <c r="W86" s="9">
        <v>4920.7202150000003</v>
      </c>
      <c r="X86" s="11">
        <f t="shared" si="60"/>
        <v>1.5852837718526278E-2</v>
      </c>
      <c r="Y86" s="9">
        <f t="shared" si="42"/>
        <v>99.741561224769654</v>
      </c>
      <c r="Z86" s="9">
        <f t="shared" si="43"/>
        <v>0.5179658611269744</v>
      </c>
      <c r="AA86" s="9">
        <f t="shared" si="61"/>
        <v>-48.753667275087857</v>
      </c>
      <c r="AB86" s="9"/>
      <c r="AC86" s="10">
        <v>42653</v>
      </c>
      <c r="AD86" s="9">
        <v>5328.669922</v>
      </c>
      <c r="AE86" s="11">
        <f t="shared" si="62"/>
        <v>6.8532273961938277E-3</v>
      </c>
      <c r="AF86" s="9">
        <f t="shared" si="44"/>
        <v>110.15998819489738</v>
      </c>
      <c r="AG86" s="9">
        <f t="shared" si="45"/>
        <v>0.9534319881522062</v>
      </c>
      <c r="AH86" s="9">
        <f t="shared" si="63"/>
        <v>-94.778043761600415</v>
      </c>
      <c r="AI86" s="9"/>
      <c r="AJ86" s="10">
        <v>42843</v>
      </c>
      <c r="AK86" s="9">
        <v>5849.4702150000003</v>
      </c>
      <c r="AL86" s="11">
        <f t="shared" si="64"/>
        <v>-1.2498013333682616E-3</v>
      </c>
      <c r="AM86" s="9">
        <f t="shared" si="46"/>
        <v>107.38056362015118</v>
      </c>
      <c r="AN86" s="9">
        <f t="shared" si="47"/>
        <v>0.95794815110467402</v>
      </c>
      <c r="AO86" s="9">
        <f t="shared" si="65"/>
        <v>-94.904222569727196</v>
      </c>
      <c r="AP86" s="9"/>
      <c r="AQ86" s="10">
        <v>43028</v>
      </c>
      <c r="AR86" s="9">
        <v>6629.0498049999997</v>
      </c>
      <c r="AS86" s="11">
        <f t="shared" si="66"/>
        <v>3.6305416352854438E-3</v>
      </c>
      <c r="AT86" s="9">
        <f t="shared" si="48"/>
        <v>107.95759718727587</v>
      </c>
      <c r="AU86" s="9">
        <f t="shared" si="49"/>
        <v>0.96601921947394664</v>
      </c>
      <c r="AV86" s="9">
        <f t="shared" si="67"/>
        <v>-96.036647259978196</v>
      </c>
      <c r="AW86" s="9"/>
      <c r="AX86" s="10">
        <v>43220</v>
      </c>
      <c r="AY86" s="9">
        <v>7066.2700199999999</v>
      </c>
      <c r="AZ86" s="11">
        <f t="shared" si="68"/>
        <v>-7.5184396283737532E-3</v>
      </c>
      <c r="BA86" s="9">
        <f t="shared" si="50"/>
        <v>99.015071148860343</v>
      </c>
      <c r="BB86" s="9">
        <f t="shared" si="51"/>
        <v>0.48342367169107042</v>
      </c>
      <c r="BC86" s="9">
        <f t="shared" si="69"/>
        <v>-45.591244339087098</v>
      </c>
      <c r="BD86" s="9"/>
      <c r="BE86" s="10">
        <v>43405</v>
      </c>
      <c r="BF86" s="9">
        <v>7434.0600590000004</v>
      </c>
      <c r="BG86" s="11">
        <f t="shared" si="70"/>
        <v>1.7542008338345318E-2</v>
      </c>
      <c r="BH86" s="9">
        <f t="shared" si="52"/>
        <v>94.992065888213531</v>
      </c>
      <c r="BI86" s="9">
        <f t="shared" si="53"/>
        <v>0.35071459630322482</v>
      </c>
      <c r="BJ86" s="9">
        <f t="shared" si="71"/>
        <v>-30.211247177505115</v>
      </c>
    </row>
    <row r="87" spans="1:62" x14ac:dyDescent="0.3">
      <c r="A87" s="10">
        <v>41900</v>
      </c>
      <c r="B87" s="9">
        <v>4593.4301759999998</v>
      </c>
      <c r="C87" s="11">
        <f t="shared" si="54"/>
        <v>6.8476401473877638E-3</v>
      </c>
      <c r="D87" s="9">
        <f t="shared" si="36"/>
        <v>108.71818027587214</v>
      </c>
      <c r="E87" s="9">
        <f t="shared" si="37"/>
        <v>0.94516642881834445</v>
      </c>
      <c r="F87" s="9">
        <f t="shared" si="55"/>
        <v>-93.27666934989567</v>
      </c>
      <c r="G87" s="9"/>
      <c r="H87" s="10">
        <v>42089</v>
      </c>
      <c r="I87" s="9">
        <v>4863.3598629999997</v>
      </c>
      <c r="J87" s="11">
        <f t="shared" si="56"/>
        <v>-2.6986779396017437E-3</v>
      </c>
      <c r="K87" s="9">
        <f t="shared" si="38"/>
        <v>102.87708255535254</v>
      </c>
      <c r="L87" s="9">
        <f t="shared" si="39"/>
        <v>0.70519746920035908</v>
      </c>
      <c r="M87" s="9">
        <f t="shared" si="57"/>
        <v>-68.353226465565143</v>
      </c>
      <c r="N87" s="9"/>
      <c r="O87" s="10">
        <v>42277</v>
      </c>
      <c r="P87" s="9">
        <v>4620.1601559999999</v>
      </c>
      <c r="Q87" s="11">
        <f t="shared" si="58"/>
        <v>2.2765785024478655E-2</v>
      </c>
      <c r="R87" s="9">
        <f t="shared" si="40"/>
        <v>92.147583566931871</v>
      </c>
      <c r="S87" s="9">
        <f t="shared" si="41"/>
        <v>0.18921181776758597</v>
      </c>
      <c r="T87" s="9">
        <f t="shared" si="59"/>
        <v>-17.010606726303774</v>
      </c>
      <c r="U87" s="9"/>
      <c r="V87" s="10">
        <v>42467</v>
      </c>
      <c r="W87" s="9">
        <v>4848.3701170000004</v>
      </c>
      <c r="X87" s="11">
        <f t="shared" si="60"/>
        <v>-1.4703152148226718E-2</v>
      </c>
      <c r="Y87" s="9">
        <f t="shared" si="42"/>
        <v>98.275045874580186</v>
      </c>
      <c r="Z87" s="9">
        <f t="shared" si="43"/>
        <v>0.44431618057518285</v>
      </c>
      <c r="AA87" s="9">
        <f t="shared" si="61"/>
        <v>-41.517745156749754</v>
      </c>
      <c r="AB87" s="9"/>
      <c r="AC87" s="10">
        <v>42654</v>
      </c>
      <c r="AD87" s="9">
        <v>5246.7900390000004</v>
      </c>
      <c r="AE87" s="11">
        <f t="shared" si="62"/>
        <v>-1.5365913858156142E-2</v>
      </c>
      <c r="AF87" s="9">
        <f t="shared" si="44"/>
        <v>108.4672793056791</v>
      </c>
      <c r="AG87" s="9">
        <f t="shared" si="45"/>
        <v>0.92391727583771988</v>
      </c>
      <c r="AH87" s="9">
        <f t="shared" si="63"/>
        <v>-91.58055828549314</v>
      </c>
      <c r="AI87" s="9"/>
      <c r="AJ87" s="10">
        <v>42844</v>
      </c>
      <c r="AK87" s="9">
        <v>5863.0297849999997</v>
      </c>
      <c r="AL87" s="11">
        <f t="shared" si="64"/>
        <v>2.3180851430319557E-3</v>
      </c>
      <c r="AM87" s="9">
        <f t="shared" si="46"/>
        <v>107.62948090932947</v>
      </c>
      <c r="AN87" s="9">
        <f t="shared" si="47"/>
        <v>0.96342090941734149</v>
      </c>
      <c r="AO87" s="9">
        <f t="shared" si="65"/>
        <v>-95.497152959733711</v>
      </c>
      <c r="AP87" s="9"/>
      <c r="AQ87" s="10">
        <v>43031</v>
      </c>
      <c r="AR87" s="9">
        <v>6586.830078</v>
      </c>
      <c r="AS87" s="11">
        <f t="shared" si="66"/>
        <v>-6.3688957304492144E-3</v>
      </c>
      <c r="AT87" s="9">
        <f t="shared" si="48"/>
        <v>107.27002650748028</v>
      </c>
      <c r="AU87" s="9">
        <f t="shared" si="49"/>
        <v>0.95647272975252939</v>
      </c>
      <c r="AV87" s="9">
        <f t="shared" si="67"/>
        <v>-95.024435919003395</v>
      </c>
      <c r="AW87" s="9"/>
      <c r="AX87" s="10">
        <v>43221</v>
      </c>
      <c r="AY87" s="9">
        <v>7130.7001950000003</v>
      </c>
      <c r="AZ87" s="11">
        <f t="shared" si="68"/>
        <v>9.117989380202092E-3</v>
      </c>
      <c r="BA87" s="9">
        <f t="shared" si="50"/>
        <v>99.917889516075604</v>
      </c>
      <c r="BB87" s="9">
        <f t="shared" si="51"/>
        <v>0.52676938690101349</v>
      </c>
      <c r="BC87" s="9">
        <f t="shared" si="69"/>
        <v>-49.924130373709943</v>
      </c>
      <c r="BD87" s="9"/>
      <c r="BE87" s="10">
        <v>43406</v>
      </c>
      <c r="BF87" s="9">
        <v>7356.9902339999999</v>
      </c>
      <c r="BG87" s="11">
        <f t="shared" si="70"/>
        <v>-1.0367124342329784E-2</v>
      </c>
      <c r="BH87" s="9">
        <f t="shared" si="52"/>
        <v>94.007271329615634</v>
      </c>
      <c r="BI87" s="9">
        <f t="shared" si="53"/>
        <v>0.31476819861010152</v>
      </c>
      <c r="BJ87" s="9">
        <f t="shared" si="71"/>
        <v>-26.833265999860402</v>
      </c>
    </row>
    <row r="88" spans="1:62" x14ac:dyDescent="0.3">
      <c r="A88" s="10">
        <v>41901</v>
      </c>
      <c r="B88" s="9">
        <v>4579.7900390000004</v>
      </c>
      <c r="C88" s="11">
        <f t="shared" si="54"/>
        <v>-2.9694882641880856E-3</v>
      </c>
      <c r="D88" s="9">
        <f t="shared" si="36"/>
        <v>108.39534291543906</v>
      </c>
      <c r="E88" s="9">
        <f t="shared" si="37"/>
        <v>0.940086687935902</v>
      </c>
      <c r="F88" s="9">
        <f t="shared" si="55"/>
        <v>-92.729882461570512</v>
      </c>
      <c r="G88" s="9"/>
      <c r="H88" s="10">
        <v>42090</v>
      </c>
      <c r="I88" s="9">
        <v>4891.2202150000003</v>
      </c>
      <c r="J88" s="11">
        <f t="shared" si="56"/>
        <v>5.7286223485042984E-3</v>
      </c>
      <c r="K88" s="9">
        <f t="shared" si="38"/>
        <v>103.46642650962808</v>
      </c>
      <c r="L88" s="9">
        <f t="shared" si="39"/>
        <v>0.73732689902722071</v>
      </c>
      <c r="M88" s="9">
        <f t="shared" si="57"/>
        <v>-71.68035284996715</v>
      </c>
      <c r="N88" s="9"/>
      <c r="O88" s="10">
        <v>42278</v>
      </c>
      <c r="P88" s="9">
        <v>4627.080078</v>
      </c>
      <c r="Q88" s="11">
        <f t="shared" si="58"/>
        <v>1.4977666934366859E-3</v>
      </c>
      <c r="R88" s="9">
        <f t="shared" si="40"/>
        <v>92.285599148479093</v>
      </c>
      <c r="S88" s="9">
        <f t="shared" si="41"/>
        <v>0.19201012507444723</v>
      </c>
      <c r="T88" s="9">
        <f t="shared" si="59"/>
        <v>-17.269549273113444</v>
      </c>
      <c r="U88" s="9"/>
      <c r="V88" s="10">
        <v>42468</v>
      </c>
      <c r="W88" s="9">
        <v>4850.6899409999996</v>
      </c>
      <c r="X88" s="11">
        <f t="shared" si="60"/>
        <v>4.784750223307351E-4</v>
      </c>
      <c r="Y88" s="9">
        <f t="shared" si="42"/>
        <v>98.32206802934958</v>
      </c>
      <c r="Z88" s="9">
        <f t="shared" si="43"/>
        <v>0.4458625681164855</v>
      </c>
      <c r="AA88" s="9">
        <f t="shared" si="61"/>
        <v>-41.671495421550084</v>
      </c>
      <c r="AB88" s="9"/>
      <c r="AC88" s="10">
        <v>42655</v>
      </c>
      <c r="AD88" s="9">
        <v>5239.0200199999999</v>
      </c>
      <c r="AE88" s="11">
        <f t="shared" si="62"/>
        <v>-1.4809090781687561E-3</v>
      </c>
      <c r="AF88" s="9">
        <f t="shared" si="44"/>
        <v>108.30664912707104</v>
      </c>
      <c r="AG88" s="9">
        <f t="shared" si="45"/>
        <v>0.92163413955829898</v>
      </c>
      <c r="AH88" s="9">
        <f t="shared" si="63"/>
        <v>-91.337043107490672</v>
      </c>
      <c r="AI88" s="9"/>
      <c r="AJ88" s="10">
        <v>42845</v>
      </c>
      <c r="AK88" s="9">
        <v>5916.7797849999997</v>
      </c>
      <c r="AL88" s="11">
        <f t="shared" si="64"/>
        <v>9.1676150337005324E-3</v>
      </c>
      <c r="AM88" s="9">
        <f t="shared" si="46"/>
        <v>108.6161865565832</v>
      </c>
      <c r="AN88" s="9">
        <f t="shared" si="47"/>
        <v>0.97810901842641784</v>
      </c>
      <c r="AO88" s="9">
        <f t="shared" si="65"/>
        <v>-97.096443969201914</v>
      </c>
      <c r="AP88" s="9"/>
      <c r="AQ88" s="10">
        <v>43032</v>
      </c>
      <c r="AR88" s="9">
        <v>6598.4301759999998</v>
      </c>
      <c r="AS88" s="11">
        <f t="shared" si="66"/>
        <v>1.7611047898053716E-3</v>
      </c>
      <c r="AT88" s="9">
        <f t="shared" si="48"/>
        <v>107.45894026496514</v>
      </c>
      <c r="AU88" s="9">
        <f t="shared" si="49"/>
        <v>0.96101903950882572</v>
      </c>
      <c r="AV88" s="9">
        <f t="shared" si="67"/>
        <v>-95.516882741579309</v>
      </c>
      <c r="AW88" s="9"/>
      <c r="AX88" s="10">
        <v>43222</v>
      </c>
      <c r="AY88" s="9">
        <v>7100.8999020000001</v>
      </c>
      <c r="AZ88" s="11">
        <f t="shared" si="68"/>
        <v>-4.1791538257205099E-3</v>
      </c>
      <c r="BA88" s="9">
        <f t="shared" si="50"/>
        <v>99.500317285846577</v>
      </c>
      <c r="BB88" s="9">
        <f t="shared" si="51"/>
        <v>0.50614383669661356</v>
      </c>
      <c r="BC88" s="9">
        <f t="shared" si="69"/>
        <v>-47.873933302925998</v>
      </c>
      <c r="BD88" s="9"/>
      <c r="BE88" s="10">
        <v>43409</v>
      </c>
      <c r="BF88" s="9">
        <v>7328.8500979999999</v>
      </c>
      <c r="BG88" s="11">
        <f t="shared" si="70"/>
        <v>-3.8249522025938826E-3</v>
      </c>
      <c r="BH88" s="9">
        <f t="shared" si="52"/>
        <v>93.647698010083587</v>
      </c>
      <c r="BI88" s="9">
        <f t="shared" si="53"/>
        <v>0.29759470295844981</v>
      </c>
      <c r="BJ88" s="9">
        <f t="shared" si="71"/>
        <v>-25.228316080112926</v>
      </c>
    </row>
    <row r="89" spans="1:62" x14ac:dyDescent="0.3">
      <c r="A89" s="10">
        <v>41904</v>
      </c>
      <c r="B89" s="9">
        <v>4527.6899409999996</v>
      </c>
      <c r="C89" s="11">
        <f t="shared" si="54"/>
        <v>-1.1376088763094669E-2</v>
      </c>
      <c r="D89" s="9">
        <f t="shared" si="36"/>
        <v>107.16222787292695</v>
      </c>
      <c r="E89" s="9">
        <f t="shared" si="37"/>
        <v>0.91502893572896915</v>
      </c>
      <c r="F89" s="9">
        <f t="shared" si="55"/>
        <v>-90.056071065619335</v>
      </c>
      <c r="G89" s="9"/>
      <c r="H89" s="10">
        <v>42093</v>
      </c>
      <c r="I89" s="9">
        <v>4947.4399409999996</v>
      </c>
      <c r="J89" s="11">
        <f t="shared" si="56"/>
        <v>1.1494008351451694E-2</v>
      </c>
      <c r="K89" s="9">
        <f t="shared" si="38"/>
        <v>104.6556704800246</v>
      </c>
      <c r="L89" s="9">
        <f t="shared" si="39"/>
        <v>0.7982872489842463</v>
      </c>
      <c r="M89" s="9">
        <f t="shared" si="57"/>
        <v>-78.069036995980312</v>
      </c>
      <c r="N89" s="9"/>
      <c r="O89" s="10">
        <v>42279</v>
      </c>
      <c r="P89" s="9">
        <v>4707.7797849999997</v>
      </c>
      <c r="Q89" s="11">
        <f t="shared" si="58"/>
        <v>1.7440741383252922E-2</v>
      </c>
      <c r="R89" s="9">
        <f t="shared" si="40"/>
        <v>93.895128416626264</v>
      </c>
      <c r="S89" s="9">
        <f t="shared" si="41"/>
        <v>0.25063160402924844</v>
      </c>
      <c r="T89" s="9">
        <f t="shared" si="59"/>
        <v>-22.774530289634662</v>
      </c>
      <c r="U89" s="9"/>
      <c r="V89" s="10">
        <v>42471</v>
      </c>
      <c r="W89" s="9">
        <v>4833.3999020000001</v>
      </c>
      <c r="X89" s="11">
        <f t="shared" si="60"/>
        <v>-3.5644494309679739E-3</v>
      </c>
      <c r="Y89" s="9">
        <f t="shared" si="42"/>
        <v>97.97160398991079</v>
      </c>
      <c r="Z89" s="9">
        <f t="shared" si="43"/>
        <v>0.42535805701058294</v>
      </c>
      <c r="AA89" s="9">
        <f t="shared" si="61"/>
        <v>-39.667773477816439</v>
      </c>
      <c r="AB89" s="9"/>
      <c r="AC89" s="10">
        <v>42656</v>
      </c>
      <c r="AD89" s="9">
        <v>5213.330078</v>
      </c>
      <c r="AE89" s="11">
        <f t="shared" si="62"/>
        <v>-4.9035777496418071E-3</v>
      </c>
      <c r="AF89" s="9">
        <f t="shared" si="44"/>
        <v>107.77555905227328</v>
      </c>
      <c r="AG89" s="9">
        <f t="shared" si="45"/>
        <v>0.91023874311065978</v>
      </c>
      <c r="AH89" s="9">
        <f t="shared" si="63"/>
        <v>-90.112651538967427</v>
      </c>
      <c r="AI89" s="9"/>
      <c r="AJ89" s="10">
        <v>42846</v>
      </c>
      <c r="AK89" s="9">
        <v>5910.5200199999999</v>
      </c>
      <c r="AL89" s="11">
        <f t="shared" si="64"/>
        <v>-1.0579682238418459E-3</v>
      </c>
      <c r="AM89" s="9">
        <f t="shared" si="46"/>
        <v>108.50127408261147</v>
      </c>
      <c r="AN89" s="9">
        <f t="shared" si="47"/>
        <v>0.97749653267879955</v>
      </c>
      <c r="AO89" s="9">
        <f t="shared" si="65"/>
        <v>-97.033978832041399</v>
      </c>
      <c r="AP89" s="9"/>
      <c r="AQ89" s="10">
        <v>43033</v>
      </c>
      <c r="AR89" s="9">
        <v>6563.8901370000003</v>
      </c>
      <c r="AS89" s="11">
        <f t="shared" si="66"/>
        <v>-5.2345842994034469E-3</v>
      </c>
      <c r="AT89" s="9">
        <f t="shared" si="48"/>
        <v>106.89643738342363</v>
      </c>
      <c r="AU89" s="9">
        <f t="shared" si="49"/>
        <v>0.95061840240374151</v>
      </c>
      <c r="AV89" s="9">
        <f t="shared" si="67"/>
        <v>-94.409017120532511</v>
      </c>
      <c r="AW89" s="9"/>
      <c r="AX89" s="10">
        <v>43223</v>
      </c>
      <c r="AY89" s="9">
        <v>7088.1499020000001</v>
      </c>
      <c r="AZ89" s="11">
        <f t="shared" si="68"/>
        <v>-1.7955470681130016E-3</v>
      </c>
      <c r="BA89" s="9">
        <f t="shared" si="50"/>
        <v>99.32165978286767</v>
      </c>
      <c r="BB89" s="9">
        <f t="shared" si="51"/>
        <v>0.49693656896339988</v>
      </c>
      <c r="BC89" s="9">
        <f t="shared" si="69"/>
        <v>-46.961419651941561</v>
      </c>
      <c r="BD89" s="9"/>
      <c r="BE89" s="10">
        <v>43410</v>
      </c>
      <c r="BF89" s="9">
        <v>7375.9599609999996</v>
      </c>
      <c r="BG89" s="11">
        <f t="shared" si="70"/>
        <v>6.4280019880411637E-3</v>
      </c>
      <c r="BH89" s="9">
        <f t="shared" si="52"/>
        <v>94.249665599067882</v>
      </c>
      <c r="BI89" s="9">
        <f t="shared" si="53"/>
        <v>0.31707878375258503</v>
      </c>
      <c r="BJ89" s="9">
        <f t="shared" si="71"/>
        <v>-27.065720980882261</v>
      </c>
    </row>
    <row r="90" spans="1:62" x14ac:dyDescent="0.3">
      <c r="A90" s="10">
        <v>41905</v>
      </c>
      <c r="B90" s="9">
        <v>4508.6899409999996</v>
      </c>
      <c r="C90" s="11">
        <f t="shared" si="54"/>
        <v>-4.1964004266165809E-3</v>
      </c>
      <c r="D90" s="9">
        <f t="shared" si="36"/>
        <v>106.71253225416382</v>
      </c>
      <c r="E90" s="9">
        <f t="shared" si="37"/>
        <v>0.90359354224493804</v>
      </c>
      <c r="F90" s="9">
        <f t="shared" si="55"/>
        <v>-88.83947228009059</v>
      </c>
      <c r="G90" s="9"/>
      <c r="H90" s="10">
        <v>42094</v>
      </c>
      <c r="I90" s="9">
        <v>4900.8798829999996</v>
      </c>
      <c r="J90" s="11">
        <f t="shared" si="56"/>
        <v>-9.410939507148235E-3</v>
      </c>
      <c r="K90" s="9">
        <f t="shared" si="38"/>
        <v>103.67076229605705</v>
      </c>
      <c r="L90" s="9">
        <f t="shared" si="39"/>
        <v>0.7523409427865434</v>
      </c>
      <c r="M90" s="9">
        <f t="shared" si="57"/>
        <v>-73.308956790290495</v>
      </c>
      <c r="N90" s="9"/>
      <c r="O90" s="10">
        <v>42282</v>
      </c>
      <c r="P90" s="9">
        <v>4781.2597660000001</v>
      </c>
      <c r="Q90" s="11">
        <f t="shared" si="58"/>
        <v>1.5608202667874027E-2</v>
      </c>
      <c r="R90" s="9">
        <f t="shared" si="40"/>
        <v>95.360662610479025</v>
      </c>
      <c r="S90" s="9">
        <f t="shared" si="41"/>
        <v>0.30752654573256344</v>
      </c>
      <c r="T90" s="9">
        <f t="shared" si="59"/>
        <v>-28.202877621542022</v>
      </c>
      <c r="U90" s="9"/>
      <c r="V90" s="10">
        <v>42472</v>
      </c>
      <c r="W90" s="9">
        <v>4872.0898440000001</v>
      </c>
      <c r="X90" s="11">
        <f t="shared" si="60"/>
        <v>8.0047053387803813E-3</v>
      </c>
      <c r="Y90" s="9">
        <f t="shared" si="42"/>
        <v>98.755837811417692</v>
      </c>
      <c r="Z90" s="9">
        <f t="shared" si="43"/>
        <v>0.4650019031325745</v>
      </c>
      <c r="AA90" s="9">
        <f t="shared" si="61"/>
        <v>-43.584464931629682</v>
      </c>
      <c r="AB90" s="9"/>
      <c r="AC90" s="10">
        <v>42657</v>
      </c>
      <c r="AD90" s="9">
        <v>5214.1601559999999</v>
      </c>
      <c r="AE90" s="11">
        <f t="shared" si="62"/>
        <v>1.5922222218440506E-4</v>
      </c>
      <c r="AF90" s="9">
        <f t="shared" si="44"/>
        <v>107.79271931628276</v>
      </c>
      <c r="AG90" s="9">
        <f t="shared" si="45"/>
        <v>0.91207394351127202</v>
      </c>
      <c r="AH90" s="9">
        <f t="shared" si="63"/>
        <v>-90.314176116387458</v>
      </c>
      <c r="AI90" s="9"/>
      <c r="AJ90" s="10">
        <v>42849</v>
      </c>
      <c r="AK90" s="9">
        <v>5983.8198240000002</v>
      </c>
      <c r="AL90" s="11">
        <f t="shared" si="64"/>
        <v>1.2401582898284511E-2</v>
      </c>
      <c r="AM90" s="9">
        <f t="shared" si="46"/>
        <v>109.84686162771646</v>
      </c>
      <c r="AN90" s="9">
        <f t="shared" si="47"/>
        <v>0.99040396748367276</v>
      </c>
      <c r="AO90" s="9">
        <f t="shared" si="65"/>
        <v>-98.463783867783022</v>
      </c>
      <c r="AP90" s="9"/>
      <c r="AQ90" s="10">
        <v>43034</v>
      </c>
      <c r="AR90" s="9">
        <v>6556.7700199999999</v>
      </c>
      <c r="AS90" s="11">
        <f t="shared" si="66"/>
        <v>-1.0847404285249985E-3</v>
      </c>
      <c r="AT90" s="9">
        <f t="shared" si="48"/>
        <v>106.78048249612854</v>
      </c>
      <c r="AU90" s="9">
        <f t="shared" si="49"/>
        <v>0.94905607456882346</v>
      </c>
      <c r="AV90" s="9">
        <f t="shared" si="67"/>
        <v>-94.246070902847691</v>
      </c>
      <c r="AW90" s="9"/>
      <c r="AX90" s="10">
        <v>43224</v>
      </c>
      <c r="AY90" s="9">
        <v>7209.6201170000004</v>
      </c>
      <c r="AZ90" s="11">
        <f t="shared" si="68"/>
        <v>1.7137083255776817E-2</v>
      </c>
      <c r="BA90" s="9">
        <f t="shared" si="50"/>
        <v>101.02374333566861</v>
      </c>
      <c r="BB90" s="9">
        <f t="shared" si="51"/>
        <v>0.57991027296127073</v>
      </c>
      <c r="BC90" s="9">
        <f t="shared" si="69"/>
        <v>-55.345663789244227</v>
      </c>
      <c r="BD90" s="9"/>
      <c r="BE90" s="10">
        <v>43411</v>
      </c>
      <c r="BF90" s="9">
        <v>7570.75</v>
      </c>
      <c r="BG90" s="11">
        <f t="shared" si="70"/>
        <v>2.6408771201300241E-2</v>
      </c>
      <c r="BH90" s="9">
        <f t="shared" si="52"/>
        <v>96.738683453672721</v>
      </c>
      <c r="BI90" s="9">
        <f t="shared" si="53"/>
        <v>0.4076737022593806</v>
      </c>
      <c r="BJ90" s="9">
        <f t="shared" si="71"/>
        <v>-35.830866437581342</v>
      </c>
    </row>
    <row r="91" spans="1:62" x14ac:dyDescent="0.3">
      <c r="A91" s="10">
        <v>41906</v>
      </c>
      <c r="B91" s="9">
        <v>4555.2202150000003</v>
      </c>
      <c r="C91" s="11">
        <f t="shared" si="54"/>
        <v>1.0320131703197252E-2</v>
      </c>
      <c r="D91" s="9">
        <f t="shared" si="36"/>
        <v>107.81381964140849</v>
      </c>
      <c r="E91" s="9">
        <f t="shared" si="37"/>
        <v>0.93398136917873797</v>
      </c>
      <c r="F91" s="9">
        <f t="shared" si="55"/>
        <v>-92.119350984662901</v>
      </c>
      <c r="G91" s="9"/>
      <c r="H91" s="10">
        <v>42095</v>
      </c>
      <c r="I91" s="9">
        <v>4880.2299800000001</v>
      </c>
      <c r="J91" s="11">
        <f t="shared" si="56"/>
        <v>-4.2135093070999764E-3</v>
      </c>
      <c r="K91" s="9">
        <f t="shared" si="38"/>
        <v>103.23394457424845</v>
      </c>
      <c r="L91" s="9">
        <f t="shared" si="39"/>
        <v>0.7305304591815216</v>
      </c>
      <c r="M91" s="9">
        <f t="shared" si="57"/>
        <v>-71.060387293432086</v>
      </c>
      <c r="N91" s="9"/>
      <c r="O91" s="10">
        <v>42283</v>
      </c>
      <c r="P91" s="9">
        <v>4748.3598629999997</v>
      </c>
      <c r="Q91" s="11">
        <f t="shared" si="58"/>
        <v>-6.8810114091593256E-3</v>
      </c>
      <c r="R91" s="9">
        <f t="shared" si="40"/>
        <v>94.704484803071324</v>
      </c>
      <c r="S91" s="9">
        <f t="shared" si="41"/>
        <v>0.27680247606071284</v>
      </c>
      <c r="T91" s="9">
        <f t="shared" si="59"/>
        <v>-25.294329478399604</v>
      </c>
      <c r="U91" s="9"/>
      <c r="V91" s="10">
        <v>42473</v>
      </c>
      <c r="W91" s="9">
        <v>4947.419922</v>
      </c>
      <c r="X91" s="11">
        <f t="shared" si="60"/>
        <v>1.5461553545193605E-2</v>
      </c>
      <c r="Y91" s="9">
        <f t="shared" si="42"/>
        <v>100.28275648563938</v>
      </c>
      <c r="Z91" s="9">
        <f t="shared" si="43"/>
        <v>0.54375887336849604</v>
      </c>
      <c r="AA91" s="9">
        <f t="shared" si="61"/>
        <v>-51.484222178544599</v>
      </c>
      <c r="AB91" s="9"/>
      <c r="AC91" s="10">
        <v>42660</v>
      </c>
      <c r="AD91" s="9">
        <v>5199.8198240000002</v>
      </c>
      <c r="AE91" s="11">
        <f t="shared" si="62"/>
        <v>-2.7502668830565475E-3</v>
      </c>
      <c r="AF91" s="9">
        <f t="shared" si="44"/>
        <v>107.49626057011257</v>
      </c>
      <c r="AG91" s="9">
        <f t="shared" si="45"/>
        <v>0.90875469158701827</v>
      </c>
      <c r="AH91" s="9">
        <f t="shared" si="63"/>
        <v>-89.96850425750192</v>
      </c>
      <c r="AI91" s="9"/>
      <c r="AJ91" s="10">
        <v>42850</v>
      </c>
      <c r="AK91" s="9">
        <v>6025.4902339999999</v>
      </c>
      <c r="AL91" s="11">
        <f t="shared" si="64"/>
        <v>6.9638477136071799E-3</v>
      </c>
      <c r="AM91" s="9">
        <f t="shared" si="46"/>
        <v>110.61181844390957</v>
      </c>
      <c r="AN91" s="9">
        <f t="shared" si="47"/>
        <v>0.99423768808368107</v>
      </c>
      <c r="AO91" s="9">
        <f t="shared" si="65"/>
        <v>-98.891885214774589</v>
      </c>
      <c r="AP91" s="9"/>
      <c r="AQ91" s="10">
        <v>43035</v>
      </c>
      <c r="AR91" s="9">
        <v>6701.2597660000001</v>
      </c>
      <c r="AS91" s="11">
        <f t="shared" si="66"/>
        <v>2.2036726247720399E-2</v>
      </c>
      <c r="AT91" s="9">
        <f t="shared" si="48"/>
        <v>109.13357475749524</v>
      </c>
      <c r="AU91" s="9">
        <f t="shared" si="49"/>
        <v>0.98476467246620136</v>
      </c>
      <c r="AV91" s="9">
        <f t="shared" si="67"/>
        <v>-98.146951046753884</v>
      </c>
      <c r="AW91" s="9"/>
      <c r="AX91" s="10">
        <v>43227</v>
      </c>
      <c r="AY91" s="9">
        <v>7265.2099609999996</v>
      </c>
      <c r="AZ91" s="11">
        <f t="shared" si="68"/>
        <v>7.7105094440302769E-3</v>
      </c>
      <c r="BA91" s="9">
        <f t="shared" si="50"/>
        <v>101.80268786272957</v>
      </c>
      <c r="BB91" s="9">
        <f t="shared" si="51"/>
        <v>0.61796054093672981</v>
      </c>
      <c r="BC91" s="9">
        <f t="shared" si="69"/>
        <v>-59.226107201684698</v>
      </c>
      <c r="BD91" s="9"/>
      <c r="BE91" s="10">
        <v>43412</v>
      </c>
      <c r="BF91" s="9">
        <v>7530.8798829999996</v>
      </c>
      <c r="BG91" s="11">
        <f t="shared" si="70"/>
        <v>-5.2663364924215427E-3</v>
      </c>
      <c r="BH91" s="9">
        <f t="shared" si="52"/>
        <v>96.22922499477184</v>
      </c>
      <c r="BI91" s="9">
        <f t="shared" si="53"/>
        <v>0.38717430481869342</v>
      </c>
      <c r="BJ91" s="9">
        <f t="shared" si="71"/>
        <v>-33.859697840621941</v>
      </c>
    </row>
    <row r="92" spans="1:62" x14ac:dyDescent="0.3">
      <c r="A92" s="10">
        <v>41907</v>
      </c>
      <c r="B92" s="9">
        <v>4466.75</v>
      </c>
      <c r="C92" s="11">
        <f t="shared" si="54"/>
        <v>-1.9421720756479448E-2</v>
      </c>
      <c r="D92" s="9">
        <f t="shared" si="36"/>
        <v>105.71988974264359</v>
      </c>
      <c r="E92" s="9">
        <f t="shared" si="37"/>
        <v>0.87310885208491951</v>
      </c>
      <c r="F92" s="9">
        <f t="shared" si="55"/>
        <v>-85.687700993689987</v>
      </c>
      <c r="G92" s="9"/>
      <c r="H92" s="10">
        <v>42096</v>
      </c>
      <c r="I92" s="9">
        <v>4886.9399409999996</v>
      </c>
      <c r="J92" s="11">
        <f t="shared" si="56"/>
        <v>1.3749272119342962E-3</v>
      </c>
      <c r="K92" s="9">
        <f t="shared" si="38"/>
        <v>103.3758837338389</v>
      </c>
      <c r="L92" s="9">
        <f t="shared" si="39"/>
        <v>0.73931323801278859</v>
      </c>
      <c r="M92" s="9">
        <f t="shared" si="57"/>
        <v>-71.971235166648711</v>
      </c>
      <c r="N92" s="9"/>
      <c r="O92" s="10">
        <v>42284</v>
      </c>
      <c r="P92" s="9">
        <v>4791.1499020000001</v>
      </c>
      <c r="Q92" s="11">
        <f t="shared" si="58"/>
        <v>9.0115408761301877E-3</v>
      </c>
      <c r="R92" s="9">
        <f t="shared" si="40"/>
        <v>95.557918139027052</v>
      </c>
      <c r="S92" s="9">
        <f t="shared" si="41"/>
        <v>0.31296485428501403</v>
      </c>
      <c r="T92" s="9">
        <f t="shared" si="59"/>
        <v>-28.750970570821909</v>
      </c>
      <c r="U92" s="9"/>
      <c r="V92" s="10">
        <v>42474</v>
      </c>
      <c r="W92" s="9">
        <v>4945.8901370000003</v>
      </c>
      <c r="X92" s="11">
        <f t="shared" si="60"/>
        <v>-3.0920864291246626E-4</v>
      </c>
      <c r="Y92" s="9">
        <f t="shared" si="42"/>
        <v>100.25174819059895</v>
      </c>
      <c r="Z92" s="9">
        <f t="shared" si="43"/>
        <v>0.54204037272308558</v>
      </c>
      <c r="AA92" s="9">
        <f t="shared" si="61"/>
        <v>-51.314055318003795</v>
      </c>
      <c r="AB92" s="9"/>
      <c r="AC92" s="10">
        <v>42661</v>
      </c>
      <c r="AD92" s="9">
        <v>5243.8398440000001</v>
      </c>
      <c r="AE92" s="11">
        <f t="shared" si="62"/>
        <v>8.4656817909004398E-3</v>
      </c>
      <c r="AF92" s="9">
        <f t="shared" si="44"/>
        <v>108.40628970581085</v>
      </c>
      <c r="AG92" s="9">
        <f t="shared" si="45"/>
        <v>0.93191077483458495</v>
      </c>
      <c r="AH92" s="9">
        <f t="shared" si="63"/>
        <v>-92.482466738254601</v>
      </c>
      <c r="AI92" s="9"/>
      <c r="AJ92" s="10">
        <v>42851</v>
      </c>
      <c r="AK92" s="9">
        <v>6025.2299800000001</v>
      </c>
      <c r="AL92" s="11">
        <f t="shared" si="64"/>
        <v>-4.319217024554626E-5</v>
      </c>
      <c r="AM92" s="9">
        <f t="shared" si="46"/>
        <v>110.60704087941615</v>
      </c>
      <c r="AN92" s="9">
        <f t="shared" si="47"/>
        <v>0.9945151103329618</v>
      </c>
      <c r="AO92" s="9">
        <f t="shared" si="65"/>
        <v>-98.926634202427962</v>
      </c>
      <c r="AP92" s="9"/>
      <c r="AQ92" s="10">
        <v>43038</v>
      </c>
      <c r="AR92" s="9">
        <v>6698.9599609999996</v>
      </c>
      <c r="AS92" s="11">
        <f t="shared" si="66"/>
        <v>-3.4318994939862188E-4</v>
      </c>
      <c r="AT92" s="9">
        <f t="shared" si="48"/>
        <v>109.09612121149652</v>
      </c>
      <c r="AU92" s="9">
        <f t="shared" si="49"/>
        <v>0.98610674903102202</v>
      </c>
      <c r="AV92" s="9">
        <f t="shared" si="67"/>
        <v>-98.305467449317959</v>
      </c>
      <c r="AW92" s="9"/>
      <c r="AX92" s="10">
        <v>43228</v>
      </c>
      <c r="AY92" s="9">
        <v>7266.8999020000001</v>
      </c>
      <c r="AZ92" s="11">
        <f t="shared" si="68"/>
        <v>2.3260731748596806E-4</v>
      </c>
      <c r="BA92" s="9">
        <f t="shared" si="50"/>
        <v>101.82636791286619</v>
      </c>
      <c r="BB92" s="9">
        <f t="shared" si="51"/>
        <v>0.6195388783458744</v>
      </c>
      <c r="BC92" s="9">
        <f t="shared" si="69"/>
        <v>-59.389257567023265</v>
      </c>
      <c r="BD92" s="9"/>
      <c r="BE92" s="10">
        <v>43413</v>
      </c>
      <c r="BF92" s="9">
        <v>7406.8999020000001</v>
      </c>
      <c r="BG92" s="11">
        <f t="shared" si="70"/>
        <v>-1.646288122054217E-2</v>
      </c>
      <c r="BH92" s="9">
        <f t="shared" si="52"/>
        <v>94.645014693738077</v>
      </c>
      <c r="BI92" s="9">
        <f t="shared" si="53"/>
        <v>0.32658650555796176</v>
      </c>
      <c r="BJ92" s="9">
        <f t="shared" si="71"/>
        <v>-28.126756212353285</v>
      </c>
    </row>
    <row r="93" spans="1:62" x14ac:dyDescent="0.3">
      <c r="A93" s="10">
        <v>41908</v>
      </c>
      <c r="B93" s="9">
        <v>4512.1899409999996</v>
      </c>
      <c r="C93" s="11">
        <f t="shared" si="54"/>
        <v>1.0172931325908017E-2</v>
      </c>
      <c r="D93" s="9">
        <f t="shared" si="36"/>
        <v>106.79537092077808</v>
      </c>
      <c r="E93" s="9">
        <f t="shared" si="37"/>
        <v>0.91057558980931175</v>
      </c>
      <c r="F93" s="9">
        <f t="shared" si="55"/>
        <v>-89.692496630886353</v>
      </c>
      <c r="G93" s="9"/>
      <c r="H93" s="10">
        <v>42100</v>
      </c>
      <c r="I93" s="9">
        <v>4917.3198240000002</v>
      </c>
      <c r="J93" s="11">
        <f t="shared" si="56"/>
        <v>6.2165451932654561E-3</v>
      </c>
      <c r="K93" s="9">
        <f t="shared" si="38"/>
        <v>104.01852458696408</v>
      </c>
      <c r="L93" s="9">
        <f t="shared" si="39"/>
        <v>0.77796405859627893</v>
      </c>
      <c r="M93" s="9">
        <f t="shared" si="57"/>
        <v>-76.003468358246465</v>
      </c>
      <c r="N93" s="9"/>
      <c r="O93" s="10">
        <v>42285</v>
      </c>
      <c r="P93" s="9">
        <v>4810.7900390000004</v>
      </c>
      <c r="Q93" s="11">
        <f t="shared" si="58"/>
        <v>4.0992532902804427E-3</v>
      </c>
      <c r="R93" s="9">
        <f t="shared" si="40"/>
        <v>95.949634249370803</v>
      </c>
      <c r="S93" s="9">
        <f t="shared" si="41"/>
        <v>0.32938586464640152</v>
      </c>
      <c r="T93" s="9">
        <f t="shared" si="59"/>
        <v>-30.327742080016641</v>
      </c>
      <c r="U93" s="9"/>
      <c r="V93" s="10">
        <v>42475</v>
      </c>
      <c r="W93" s="9">
        <v>4938.2202150000003</v>
      </c>
      <c r="X93" s="11">
        <f t="shared" si="60"/>
        <v>-1.5507667553352371E-3</v>
      </c>
      <c r="Y93" s="9">
        <f t="shared" si="42"/>
        <v>100.09628111234072</v>
      </c>
      <c r="Z93" s="9">
        <f t="shared" si="43"/>
        <v>0.53377557840980283</v>
      </c>
      <c r="AA93" s="9">
        <f t="shared" si="61"/>
        <v>-50.488888983211687</v>
      </c>
      <c r="AB93" s="9"/>
      <c r="AC93" s="10">
        <v>42662</v>
      </c>
      <c r="AD93" s="9">
        <v>5246.4101559999999</v>
      </c>
      <c r="AE93" s="11">
        <f t="shared" si="62"/>
        <v>4.9015837181617603E-4</v>
      </c>
      <c r="AF93" s="9">
        <f t="shared" si="44"/>
        <v>108.45942595626769</v>
      </c>
      <c r="AG93" s="9">
        <f t="shared" si="45"/>
        <v>0.93440691836736955</v>
      </c>
      <c r="AH93" s="9">
        <f t="shared" si="63"/>
        <v>-92.756997760339473</v>
      </c>
      <c r="AI93" s="9"/>
      <c r="AJ93" s="10">
        <v>42852</v>
      </c>
      <c r="AK93" s="9">
        <v>6048.9399409999996</v>
      </c>
      <c r="AL93" s="11">
        <f t="shared" si="64"/>
        <v>3.935113029494613E-3</v>
      </c>
      <c r="AM93" s="9">
        <f t="shared" si="46"/>
        <v>111.04229208713458</v>
      </c>
      <c r="AN93" s="9">
        <f t="shared" si="47"/>
        <v>0.99608121186245591</v>
      </c>
      <c r="AO93" s="9">
        <f t="shared" si="65"/>
        <v>-99.104603267560421</v>
      </c>
      <c r="AP93" s="9"/>
      <c r="AQ93" s="10">
        <v>43039</v>
      </c>
      <c r="AR93" s="9">
        <v>6727.669922</v>
      </c>
      <c r="AS93" s="11">
        <f t="shared" si="66"/>
        <v>4.28573407919201E-3</v>
      </c>
      <c r="AT93" s="9">
        <f t="shared" si="48"/>
        <v>109.56367817608029</v>
      </c>
      <c r="AU93" s="9">
        <f t="shared" si="49"/>
        <v>0.98984203391326664</v>
      </c>
      <c r="AV93" s="9">
        <f t="shared" si="67"/>
        <v>-98.718759033783087</v>
      </c>
      <c r="AW93" s="9"/>
      <c r="AX93" s="10">
        <v>43229</v>
      </c>
      <c r="AY93" s="9">
        <v>7339.9101559999999</v>
      </c>
      <c r="AZ93" s="11">
        <f t="shared" si="68"/>
        <v>1.0046960187232782E-2</v>
      </c>
      <c r="BA93" s="9">
        <f t="shared" si="50"/>
        <v>102.84941337729727</v>
      </c>
      <c r="BB93" s="9">
        <f t="shared" si="51"/>
        <v>0.66788740154250548</v>
      </c>
      <c r="BC93" s="9">
        <f t="shared" si="69"/>
        <v>-64.364315520027091</v>
      </c>
      <c r="BD93" s="9"/>
      <c r="BE93" s="10">
        <v>43416</v>
      </c>
      <c r="BF93" s="9">
        <v>7200.8701170000004</v>
      </c>
      <c r="BG93" s="11">
        <f t="shared" si="70"/>
        <v>-2.781592673398595E-2</v>
      </c>
      <c r="BH93" s="9">
        <f t="shared" si="52"/>
        <v>92.01237589928003</v>
      </c>
      <c r="BI93" s="9">
        <f t="shared" si="53"/>
        <v>0.22963757458755654</v>
      </c>
      <c r="BJ93" s="9">
        <f t="shared" si="71"/>
        <v>-19.209722628913788</v>
      </c>
    </row>
    <row r="94" spans="1:62" x14ac:dyDescent="0.3">
      <c r="A94" s="10">
        <v>41911</v>
      </c>
      <c r="B94" s="9">
        <v>4505.8500979999999</v>
      </c>
      <c r="C94" s="11">
        <f t="shared" si="54"/>
        <v>-1.4050478997776185E-3</v>
      </c>
      <c r="D94" s="9">
        <f t="shared" si="36"/>
        <v>106.64531830915986</v>
      </c>
      <c r="E94" s="9">
        <f t="shared" si="37"/>
        <v>0.91084979348520123</v>
      </c>
      <c r="F94" s="9">
        <f t="shared" si="55"/>
        <v>-89.732797829904072</v>
      </c>
      <c r="G94" s="9"/>
      <c r="H94" s="10">
        <v>42101</v>
      </c>
      <c r="I94" s="9">
        <v>4910.2299800000001</v>
      </c>
      <c r="J94" s="11">
        <f t="shared" si="56"/>
        <v>-1.4418106313517842E-3</v>
      </c>
      <c r="K94" s="9">
        <f t="shared" si="38"/>
        <v>103.86854957235707</v>
      </c>
      <c r="L94" s="9">
        <f t="shared" si="39"/>
        <v>0.77179640293921314</v>
      </c>
      <c r="M94" s="9">
        <f t="shared" si="57"/>
        <v>-75.365966405272758</v>
      </c>
      <c r="N94" s="9"/>
      <c r="O94" s="10">
        <v>42286</v>
      </c>
      <c r="P94" s="9">
        <v>4830.4702150000003</v>
      </c>
      <c r="Q94" s="11">
        <f t="shared" si="58"/>
        <v>4.0908407642938176E-3</v>
      </c>
      <c r="R94" s="9">
        <f t="shared" si="40"/>
        <v>96.342148924477215</v>
      </c>
      <c r="S94" s="9">
        <f t="shared" si="41"/>
        <v>0.34636433677976175</v>
      </c>
      <c r="T94" s="9">
        <f t="shared" si="59"/>
        <v>-31.96473094197404</v>
      </c>
      <c r="U94" s="9"/>
      <c r="V94" s="10">
        <v>42478</v>
      </c>
      <c r="W94" s="9">
        <v>4960.0200199999999</v>
      </c>
      <c r="X94" s="11">
        <f t="shared" si="60"/>
        <v>4.4145064518957763E-3</v>
      </c>
      <c r="Y94" s="9">
        <f t="shared" si="42"/>
        <v>100.53815679112192</v>
      </c>
      <c r="Z94" s="9">
        <f t="shared" si="43"/>
        <v>0.55684212562065127</v>
      </c>
      <c r="AA94" s="9">
        <f t="shared" si="61"/>
        <v>-52.814182164599202</v>
      </c>
      <c r="AB94" s="9"/>
      <c r="AC94" s="10">
        <v>42663</v>
      </c>
      <c r="AD94" s="9">
        <v>5241.830078</v>
      </c>
      <c r="AE94" s="11">
        <f t="shared" si="62"/>
        <v>-8.7299274433623941E-4</v>
      </c>
      <c r="AF94" s="9">
        <f t="shared" si="44"/>
        <v>108.36474166435299</v>
      </c>
      <c r="AG94" s="9">
        <f t="shared" si="45"/>
        <v>0.93381462922649372</v>
      </c>
      <c r="AH94" s="9">
        <f t="shared" si="63"/>
        <v>-92.69662651034109</v>
      </c>
      <c r="AI94" s="9"/>
      <c r="AJ94" s="10">
        <v>42853</v>
      </c>
      <c r="AK94" s="9">
        <v>6047.6098629999997</v>
      </c>
      <c r="AL94" s="11">
        <f t="shared" si="64"/>
        <v>-2.1988613095405798E-4</v>
      </c>
      <c r="AM94" s="9">
        <f t="shared" si="46"/>
        <v>111.01787542715529</v>
      </c>
      <c r="AN94" s="9">
        <f t="shared" si="47"/>
        <v>0.99624736785249757</v>
      </c>
      <c r="AO94" s="9">
        <f t="shared" si="65"/>
        <v>-99.127122428168079</v>
      </c>
      <c r="AP94" s="9"/>
      <c r="AQ94" s="10">
        <v>43040</v>
      </c>
      <c r="AR94" s="9">
        <v>6716.5297849999997</v>
      </c>
      <c r="AS94" s="11">
        <f t="shared" si="66"/>
        <v>-1.6558685442594641E-3</v>
      </c>
      <c r="AT94" s="9">
        <f t="shared" si="48"/>
        <v>109.38225512779513</v>
      </c>
      <c r="AU94" s="9">
        <f t="shared" si="49"/>
        <v>0.98917140603746712</v>
      </c>
      <c r="AV94" s="9">
        <f t="shared" si="67"/>
        <v>-98.649461263042156</v>
      </c>
      <c r="AW94" s="9"/>
      <c r="AX94" s="10">
        <v>43230</v>
      </c>
      <c r="AY94" s="9">
        <v>7404.9702150000003</v>
      </c>
      <c r="AZ94" s="11">
        <f t="shared" si="68"/>
        <v>8.8638767528805649E-3</v>
      </c>
      <c r="BA94" s="9">
        <f t="shared" si="50"/>
        <v>103.7610579015797</v>
      </c>
      <c r="BB94" s="9">
        <f t="shared" si="51"/>
        <v>0.70910818808493459</v>
      </c>
      <c r="BC94" s="9">
        <f t="shared" si="69"/>
        <v>-68.644073102414012</v>
      </c>
      <c r="BD94" s="9"/>
      <c r="BE94" s="10">
        <v>43417</v>
      </c>
      <c r="BF94" s="9">
        <v>7200.8701170000004</v>
      </c>
      <c r="BG94" s="11">
        <f t="shared" si="70"/>
        <v>0</v>
      </c>
      <c r="BH94" s="9">
        <f t="shared" si="52"/>
        <v>92.01237589928003</v>
      </c>
      <c r="BI94" s="9">
        <f t="shared" si="53"/>
        <v>0.22756322388386749</v>
      </c>
      <c r="BJ94" s="9">
        <f t="shared" si="71"/>
        <v>-19.019646149096602</v>
      </c>
    </row>
    <row r="95" spans="1:62" x14ac:dyDescent="0.3">
      <c r="A95" s="10">
        <v>41912</v>
      </c>
      <c r="B95" s="9">
        <v>4493.3901370000003</v>
      </c>
      <c r="C95" s="11">
        <f t="shared" si="54"/>
        <v>-2.7652852911218989E-3</v>
      </c>
      <c r="D95" s="9">
        <f t="shared" si="36"/>
        <v>106.35041357907254</v>
      </c>
      <c r="E95" s="9">
        <f t="shared" si="37"/>
        <v>0.90335600071781075</v>
      </c>
      <c r="F95" s="9">
        <f t="shared" si="55"/>
        <v>-88.939517594816763</v>
      </c>
      <c r="G95" s="9"/>
      <c r="H95" s="10">
        <v>42102</v>
      </c>
      <c r="I95" s="9">
        <v>4950.8198240000002</v>
      </c>
      <c r="J95" s="11">
        <f t="shared" si="56"/>
        <v>8.2663834821032327E-3</v>
      </c>
      <c r="K95" s="9">
        <f t="shared" si="38"/>
        <v>104.72716683485201</v>
      </c>
      <c r="L95" s="9">
        <f t="shared" si="39"/>
        <v>0.81500251065306328</v>
      </c>
      <c r="M95" s="9">
        <f t="shared" si="57"/>
        <v>-79.893916951244449</v>
      </c>
      <c r="N95" s="9"/>
      <c r="O95" s="10">
        <v>42289</v>
      </c>
      <c r="P95" s="9">
        <v>4838.6401370000003</v>
      </c>
      <c r="Q95" s="11">
        <f t="shared" si="58"/>
        <v>1.6913305819855971E-3</v>
      </c>
      <c r="R95" s="9">
        <f t="shared" si="40"/>
        <v>96.505095347287394</v>
      </c>
      <c r="S95" s="9">
        <f t="shared" si="41"/>
        <v>0.34940388652941778</v>
      </c>
      <c r="T95" s="9">
        <f t="shared" si="59"/>
        <v>-32.26200408055638</v>
      </c>
      <c r="U95" s="9"/>
      <c r="V95" s="10">
        <v>42479</v>
      </c>
      <c r="W95" s="9">
        <v>4940.330078</v>
      </c>
      <c r="X95" s="11">
        <f t="shared" si="60"/>
        <v>-3.9697303479835503E-3</v>
      </c>
      <c r="Y95" s="9">
        <f t="shared" si="42"/>
        <v>100.13904741897788</v>
      </c>
      <c r="Z95" s="9">
        <f t="shared" si="43"/>
        <v>0.5353375865487684</v>
      </c>
      <c r="AA95" s="9">
        <f t="shared" si="61"/>
        <v>-50.662908597197848</v>
      </c>
      <c r="AB95" s="9"/>
      <c r="AC95" s="10">
        <v>42664</v>
      </c>
      <c r="AD95" s="9">
        <v>5257.3999020000001</v>
      </c>
      <c r="AE95" s="11">
        <f t="shared" si="62"/>
        <v>2.9703030751314931E-3</v>
      </c>
      <c r="AF95" s="9">
        <f t="shared" si="44"/>
        <v>108.68661778975446</v>
      </c>
      <c r="AG95" s="9">
        <f t="shared" si="45"/>
        <v>0.94169769096858968</v>
      </c>
      <c r="AH95" s="9">
        <f t="shared" si="63"/>
        <v>-93.55721935759928</v>
      </c>
      <c r="AI95" s="9"/>
      <c r="AJ95" s="10">
        <v>42856</v>
      </c>
      <c r="AK95" s="9">
        <v>6091.6000979999999</v>
      </c>
      <c r="AL95" s="11">
        <f t="shared" si="64"/>
        <v>7.2739869132659712E-3</v>
      </c>
      <c r="AM95" s="9">
        <f t="shared" si="46"/>
        <v>111.825418000151</v>
      </c>
      <c r="AN95" s="9">
        <f t="shared" si="47"/>
        <v>0.99825359556481685</v>
      </c>
      <c r="AO95" s="9">
        <f t="shared" si="65"/>
        <v>-99.363691586171512</v>
      </c>
      <c r="AP95" s="9"/>
      <c r="AQ95" s="10">
        <v>43041</v>
      </c>
      <c r="AR95" s="9">
        <v>6714.9399409999996</v>
      </c>
      <c r="AS95" s="11">
        <f t="shared" si="66"/>
        <v>-2.3670616388103826E-4</v>
      </c>
      <c r="AT95" s="9">
        <f t="shared" si="48"/>
        <v>109.35636367378719</v>
      </c>
      <c r="AU95" s="9">
        <f t="shared" si="49"/>
        <v>0.98947972854916866</v>
      </c>
      <c r="AV95" s="9">
        <f t="shared" si="67"/>
        <v>-98.687232462514075</v>
      </c>
      <c r="AW95" s="9"/>
      <c r="AX95" s="10">
        <v>43231</v>
      </c>
      <c r="AY95" s="9">
        <v>7402.8798829999996</v>
      </c>
      <c r="AZ95" s="11">
        <f t="shared" si="68"/>
        <v>-2.8228769857390596E-4</v>
      </c>
      <c r="BA95" s="9">
        <f t="shared" si="50"/>
        <v>103.73176743134307</v>
      </c>
      <c r="BB95" s="9">
        <f t="shared" si="51"/>
        <v>0.70896429412288842</v>
      </c>
      <c r="BC95" s="9">
        <f t="shared" si="69"/>
        <v>-68.631967774680163</v>
      </c>
      <c r="BD95" s="9"/>
      <c r="BE95" s="10">
        <v>43418</v>
      </c>
      <c r="BF95" s="9">
        <v>7136.3901370000003</v>
      </c>
      <c r="BG95" s="11">
        <f t="shared" si="70"/>
        <v>-8.9544706337327303E-3</v>
      </c>
      <c r="BH95" s="9">
        <f t="shared" si="52"/>
        <v>91.188453781349949</v>
      </c>
      <c r="BI95" s="9">
        <f t="shared" si="53"/>
        <v>0.1994433215055611</v>
      </c>
      <c r="BJ95" s="9">
        <f t="shared" si="71"/>
        <v>-16.456217376091228</v>
      </c>
    </row>
    <row r="96" spans="1:62" x14ac:dyDescent="0.3">
      <c r="A96" s="10">
        <v>41913</v>
      </c>
      <c r="B96" s="9">
        <v>4422.0898440000001</v>
      </c>
      <c r="C96" s="11">
        <f t="shared" si="54"/>
        <v>-1.5867817132745942E-2</v>
      </c>
      <c r="D96" s="9">
        <f t="shared" si="36"/>
        <v>104.66286466440791</v>
      </c>
      <c r="E96" s="9">
        <f t="shared" si="37"/>
        <v>0.8387167786766192</v>
      </c>
      <c r="F96" s="9">
        <f t="shared" si="55"/>
        <v>-82.177846570079964</v>
      </c>
      <c r="G96" s="9"/>
      <c r="H96" s="10">
        <v>42103</v>
      </c>
      <c r="I96" s="9">
        <v>4974.5600590000004</v>
      </c>
      <c r="J96" s="11">
        <f t="shared" si="56"/>
        <v>4.7952128827058304E-3</v>
      </c>
      <c r="K96" s="9">
        <f t="shared" si="38"/>
        <v>105.22935589442778</v>
      </c>
      <c r="L96" s="9">
        <f t="shared" si="39"/>
        <v>0.83860561034230885</v>
      </c>
      <c r="M96" s="9">
        <f t="shared" si="57"/>
        <v>-82.380939307777481</v>
      </c>
      <c r="N96" s="9"/>
      <c r="O96" s="10">
        <v>42290</v>
      </c>
      <c r="P96" s="9">
        <v>4796.6098629999997</v>
      </c>
      <c r="Q96" s="11">
        <f t="shared" si="58"/>
        <v>-8.6863814646194765E-3</v>
      </c>
      <c r="R96" s="9">
        <f t="shared" si="40"/>
        <v>95.666815275821378</v>
      </c>
      <c r="S96" s="9">
        <f t="shared" si="41"/>
        <v>0.30695956808171199</v>
      </c>
      <c r="T96" s="9">
        <f t="shared" si="59"/>
        <v>-28.202817171139273</v>
      </c>
      <c r="U96" s="9"/>
      <c r="V96" s="10">
        <v>42480</v>
      </c>
      <c r="W96" s="9">
        <v>4948.1298829999996</v>
      </c>
      <c r="X96" s="11">
        <f t="shared" si="60"/>
        <v>1.5788024032510103E-3</v>
      </c>
      <c r="Y96" s="9">
        <f t="shared" si="42"/>
        <v>100.29714718770222</v>
      </c>
      <c r="Z96" s="9">
        <f t="shared" si="43"/>
        <v>0.54378879507354183</v>
      </c>
      <c r="AA96" s="9">
        <f t="shared" si="61"/>
        <v>-51.512622782642794</v>
      </c>
      <c r="AB96" s="9"/>
      <c r="AC96" s="10">
        <v>42667</v>
      </c>
      <c r="AD96" s="9">
        <v>5309.830078</v>
      </c>
      <c r="AE96" s="11">
        <f t="shared" si="62"/>
        <v>9.9726436978960949E-3</v>
      </c>
      <c r="AF96" s="9">
        <f t="shared" si="44"/>
        <v>109.77051070370109</v>
      </c>
      <c r="AG96" s="9">
        <f t="shared" si="45"/>
        <v>0.96314330871860121</v>
      </c>
      <c r="AH96" s="9">
        <f t="shared" si="63"/>
        <v>-95.922850933133105</v>
      </c>
      <c r="AI96" s="9"/>
      <c r="AJ96" s="10">
        <v>42857</v>
      </c>
      <c r="AK96" s="9">
        <v>6095.3701170000004</v>
      </c>
      <c r="AL96" s="11">
        <f t="shared" si="64"/>
        <v>6.1888813109026619E-4</v>
      </c>
      <c r="AM96" s="9">
        <f t="shared" si="46"/>
        <v>111.89462542410551</v>
      </c>
      <c r="AN96" s="9">
        <f t="shared" si="47"/>
        <v>0.99846281495020817</v>
      </c>
      <c r="AO96" s="9">
        <f t="shared" si="65"/>
        <v>-99.391185634219013</v>
      </c>
      <c r="AP96" s="9"/>
      <c r="AQ96" s="10">
        <v>43042</v>
      </c>
      <c r="AR96" s="9">
        <v>6764.4399409999996</v>
      </c>
      <c r="AS96" s="11">
        <f t="shared" si="66"/>
        <v>7.3716221492560931E-3</v>
      </c>
      <c r="AT96" s="9">
        <f t="shared" si="48"/>
        <v>110.16249746640699</v>
      </c>
      <c r="AU96" s="9">
        <f t="shared" si="49"/>
        <v>0.99393654952219623</v>
      </c>
      <c r="AV96" s="9">
        <f t="shared" si="67"/>
        <v>-99.182262714689898</v>
      </c>
      <c r="AW96" s="9"/>
      <c r="AX96" s="10">
        <v>43234</v>
      </c>
      <c r="AY96" s="9">
        <v>7411.3198240000002</v>
      </c>
      <c r="AZ96" s="11">
        <f t="shared" si="68"/>
        <v>1.1400888753283782E-3</v>
      </c>
      <c r="BA96" s="9">
        <f t="shared" si="50"/>
        <v>103.85003086540969</v>
      </c>
      <c r="BB96" s="9">
        <f t="shared" si="51"/>
        <v>0.717657078462136</v>
      </c>
      <c r="BC96" s="9">
        <f t="shared" si="69"/>
        <v>-69.543175693715696</v>
      </c>
      <c r="BD96" s="9"/>
      <c r="BE96" s="10">
        <v>43419</v>
      </c>
      <c r="BF96" s="9">
        <v>7259.0297849999997</v>
      </c>
      <c r="BG96" s="11">
        <f t="shared" si="70"/>
        <v>1.7185109788792282E-2</v>
      </c>
      <c r="BH96" s="9">
        <f t="shared" si="52"/>
        <v>92.755537371052668</v>
      </c>
      <c r="BI96" s="9">
        <f t="shared" si="53"/>
        <v>0.24818903072893161</v>
      </c>
      <c r="BJ96" s="9">
        <f t="shared" si="71"/>
        <v>-20.978328126440317</v>
      </c>
    </row>
    <row r="97" spans="1:62" x14ac:dyDescent="0.3">
      <c r="A97" s="10">
        <v>41914</v>
      </c>
      <c r="B97" s="9">
        <v>4430.2001950000003</v>
      </c>
      <c r="C97" s="11">
        <f t="shared" si="54"/>
        <v>1.8340538718372237E-3</v>
      </c>
      <c r="D97" s="9">
        <f t="shared" si="36"/>
        <v>104.85482199658324</v>
      </c>
      <c r="E97" s="9">
        <f t="shared" si="37"/>
        <v>0.84937070348740629</v>
      </c>
      <c r="F97" s="9">
        <f t="shared" si="55"/>
        <v>-83.298339200851757</v>
      </c>
      <c r="G97" s="9"/>
      <c r="H97" s="10">
        <v>42104</v>
      </c>
      <c r="I97" s="9">
        <v>4995.9799800000001</v>
      </c>
      <c r="J97" s="11">
        <f t="shared" si="56"/>
        <v>4.3058925303850071E-3</v>
      </c>
      <c r="K97" s="9">
        <f t="shared" si="38"/>
        <v>105.68246219195083</v>
      </c>
      <c r="L97" s="9">
        <f t="shared" si="39"/>
        <v>0.85854170229987881</v>
      </c>
      <c r="M97" s="9">
        <f t="shared" si="57"/>
        <v>-84.491220179958759</v>
      </c>
      <c r="N97" s="9"/>
      <c r="O97" s="10">
        <v>42291</v>
      </c>
      <c r="P97" s="9">
        <v>4782.8500979999999</v>
      </c>
      <c r="Q97" s="11">
        <f t="shared" si="58"/>
        <v>-2.8686437698716353E-3</v>
      </c>
      <c r="R97" s="9">
        <f t="shared" si="40"/>
        <v>95.392381262196935</v>
      </c>
      <c r="S97" s="9">
        <f t="shared" si="41"/>
        <v>0.29196688382214075</v>
      </c>
      <c r="T97" s="9">
        <f t="shared" si="59"/>
        <v>-26.773788361806059</v>
      </c>
      <c r="U97" s="9"/>
      <c r="V97" s="10">
        <v>42481</v>
      </c>
      <c r="W97" s="9">
        <v>4945.8901370000003</v>
      </c>
      <c r="X97" s="11">
        <f t="shared" si="60"/>
        <v>-4.5264494929574313E-4</v>
      </c>
      <c r="Y97" s="9">
        <f t="shared" si="42"/>
        <v>100.25174819059895</v>
      </c>
      <c r="Z97" s="9">
        <f t="shared" si="43"/>
        <v>0.54119863472895868</v>
      </c>
      <c r="AA97" s="9">
        <f t="shared" si="61"/>
        <v>-51.255071680604736</v>
      </c>
      <c r="AB97" s="9"/>
      <c r="AC97" s="10">
        <v>42668</v>
      </c>
      <c r="AD97" s="9">
        <v>5283.3999020000001</v>
      </c>
      <c r="AE97" s="11">
        <f t="shared" si="62"/>
        <v>-4.9775935598216046E-3</v>
      </c>
      <c r="AF97" s="9">
        <f t="shared" si="44"/>
        <v>109.22411771656402</v>
      </c>
      <c r="AG97" s="9">
        <f t="shared" si="45"/>
        <v>0.95637100118165586</v>
      </c>
      <c r="AH97" s="9">
        <f t="shared" si="63"/>
        <v>-95.187093733476686</v>
      </c>
      <c r="AI97" s="9"/>
      <c r="AJ97" s="10">
        <v>42858</v>
      </c>
      <c r="AK97" s="9">
        <v>6072.5498049999997</v>
      </c>
      <c r="AL97" s="11">
        <f t="shared" si="64"/>
        <v>-3.7438763458111988E-3</v>
      </c>
      <c r="AM97" s="9">
        <f t="shared" si="46"/>
        <v>111.47570578275679</v>
      </c>
      <c r="AN97" s="9">
        <f t="shared" si="47"/>
        <v>0.99805970495982199</v>
      </c>
      <c r="AO97" s="9">
        <f t="shared" si="65"/>
        <v>-99.350333316735913</v>
      </c>
      <c r="AP97" s="9"/>
      <c r="AQ97" s="10">
        <v>43045</v>
      </c>
      <c r="AR97" s="9">
        <v>6786.4399409999996</v>
      </c>
      <c r="AS97" s="11">
        <f t="shared" si="66"/>
        <v>3.252301771009249E-3</v>
      </c>
      <c r="AT97" s="9">
        <f t="shared" si="48"/>
        <v>110.52077915201576</v>
      </c>
      <c r="AU97" s="9">
        <f t="shared" si="49"/>
        <v>0.99598305229481277</v>
      </c>
      <c r="AV97" s="9">
        <f t="shared" si="67"/>
        <v>-99.420672499662686</v>
      </c>
      <c r="AW97" s="9"/>
      <c r="AX97" s="10">
        <v>43235</v>
      </c>
      <c r="AY97" s="9">
        <v>7351.6298829999996</v>
      </c>
      <c r="AZ97" s="11">
        <f t="shared" si="68"/>
        <v>-8.0538881626329526E-3</v>
      </c>
      <c r="BA97" s="9">
        <f t="shared" si="50"/>
        <v>103.0136343311337</v>
      </c>
      <c r="BB97" s="9">
        <f t="shared" si="51"/>
        <v>0.68095983702939067</v>
      </c>
      <c r="BC97" s="9">
        <f t="shared" si="69"/>
        <v>-65.765717481254242</v>
      </c>
      <c r="BD97" s="9"/>
      <c r="BE97" s="10">
        <v>43420</v>
      </c>
      <c r="BF97" s="9">
        <v>7247.8701170000004</v>
      </c>
      <c r="BG97" s="11">
        <f t="shared" si="70"/>
        <v>-1.537349801630457E-3</v>
      </c>
      <c r="BH97" s="9">
        <f t="shared" si="52"/>
        <v>92.612939664075142</v>
      </c>
      <c r="BI97" s="9">
        <f t="shared" si="53"/>
        <v>0.24119443320247408</v>
      </c>
      <c r="BJ97" s="9">
        <f t="shared" si="71"/>
        <v>-20.331400028536802</v>
      </c>
    </row>
    <row r="98" spans="1:62" x14ac:dyDescent="0.3">
      <c r="A98" s="10">
        <v>41915</v>
      </c>
      <c r="B98" s="9">
        <v>4475.6201170000004</v>
      </c>
      <c r="C98" s="11">
        <f t="shared" si="54"/>
        <v>1.0252340752289646E-2</v>
      </c>
      <c r="D98" s="9">
        <f t="shared" si="36"/>
        <v>105.9298293612129</v>
      </c>
      <c r="E98" s="9">
        <f t="shared" si="37"/>
        <v>0.89442038041386318</v>
      </c>
      <c r="F98" s="9">
        <f t="shared" si="55"/>
        <v>-88.073867080209396</v>
      </c>
      <c r="G98" s="9"/>
      <c r="H98" s="10">
        <v>42107</v>
      </c>
      <c r="I98" s="9">
        <v>4988.25</v>
      </c>
      <c r="J98" s="11">
        <f t="shared" si="56"/>
        <v>-1.5472399871386332E-3</v>
      </c>
      <c r="K98" s="9">
        <f t="shared" si="38"/>
        <v>105.51894606050818</v>
      </c>
      <c r="L98" s="9">
        <f t="shared" si="39"/>
        <v>0.85760521110885191</v>
      </c>
      <c r="M98" s="9">
        <f t="shared" si="57"/>
        <v>-84.402819984415586</v>
      </c>
      <c r="N98" s="9"/>
      <c r="O98" s="10">
        <v>42292</v>
      </c>
      <c r="P98" s="9">
        <v>4870.1000979999999</v>
      </c>
      <c r="Q98" s="11">
        <f t="shared" si="58"/>
        <v>1.8242261039392499E-2</v>
      </c>
      <c r="R98" s="9">
        <f t="shared" si="40"/>
        <v>97.132553982351183</v>
      </c>
      <c r="S98" s="9">
        <f t="shared" si="41"/>
        <v>0.3762436486865931</v>
      </c>
      <c r="T98" s="9">
        <f t="shared" si="59"/>
        <v>-34.960906089741854</v>
      </c>
      <c r="U98" s="9"/>
      <c r="V98" s="10">
        <v>42482</v>
      </c>
      <c r="W98" s="9">
        <v>4906.2299800000001</v>
      </c>
      <c r="X98" s="11">
        <f t="shared" si="60"/>
        <v>-8.0188107502235546E-3</v>
      </c>
      <c r="Y98" s="9">
        <f t="shared" si="42"/>
        <v>99.44784839447945</v>
      </c>
      <c r="Z98" s="9">
        <f t="shared" si="43"/>
        <v>0.4961503847251138</v>
      </c>
      <c r="AA98" s="9">
        <f t="shared" si="61"/>
        <v>-46.777226559876773</v>
      </c>
      <c r="AB98" s="9"/>
      <c r="AC98" s="10">
        <v>42669</v>
      </c>
      <c r="AD98" s="9">
        <v>5250.2700199999999</v>
      </c>
      <c r="AE98" s="11">
        <f t="shared" si="62"/>
        <v>-6.2705611186953799E-3</v>
      </c>
      <c r="AF98" s="9">
        <f t="shared" si="44"/>
        <v>108.53922121078672</v>
      </c>
      <c r="AG98" s="9">
        <f t="shared" si="45"/>
        <v>0.94587018973908576</v>
      </c>
      <c r="AH98" s="9">
        <f t="shared" si="63"/>
        <v>-94.051255716171923</v>
      </c>
      <c r="AI98" s="9"/>
      <c r="AJ98" s="10">
        <v>42859</v>
      </c>
      <c r="AK98" s="9">
        <v>6075.3398440000001</v>
      </c>
      <c r="AL98" s="11">
        <f t="shared" si="64"/>
        <v>4.5945098675076798E-4</v>
      </c>
      <c r="AM98" s="9">
        <f t="shared" si="46"/>
        <v>111.52692340577741</v>
      </c>
      <c r="AN98" s="9">
        <f t="shared" si="47"/>
        <v>0.99827185177357536</v>
      </c>
      <c r="AO98" s="9">
        <f t="shared" si="65"/>
        <v>-99.378076372490597</v>
      </c>
      <c r="AP98" s="9"/>
      <c r="AQ98" s="10">
        <v>43046</v>
      </c>
      <c r="AR98" s="9">
        <v>6767.7797849999997</v>
      </c>
      <c r="AS98" s="11">
        <f t="shared" si="66"/>
        <v>-2.7496236852057507E-3</v>
      </c>
      <c r="AT98" s="9">
        <f t="shared" si="48"/>
        <v>110.216888599952</v>
      </c>
      <c r="AU98" s="9">
        <f t="shared" si="49"/>
        <v>0.99534806111047613</v>
      </c>
      <c r="AV98" s="9">
        <f t="shared" si="67"/>
        <v>-99.354771612053881</v>
      </c>
      <c r="AW98" s="9"/>
      <c r="AX98" s="10">
        <v>43236</v>
      </c>
      <c r="AY98" s="9">
        <v>7398.2998049999997</v>
      </c>
      <c r="AZ98" s="11">
        <f t="shared" si="68"/>
        <v>6.3482415114395454E-3</v>
      </c>
      <c r="BA98" s="9">
        <f t="shared" si="50"/>
        <v>103.66758976083885</v>
      </c>
      <c r="BB98" s="9">
        <f t="shared" si="51"/>
        <v>0.71210312321226699</v>
      </c>
      <c r="BC98" s="9">
        <f t="shared" si="69"/>
        <v>-68.996969653319169</v>
      </c>
      <c r="BD98" s="9"/>
      <c r="BE98" s="10">
        <v>43423</v>
      </c>
      <c r="BF98" s="9">
        <v>7028.4799800000001</v>
      </c>
      <c r="BG98" s="11">
        <f t="shared" si="70"/>
        <v>-3.0269601063271968E-2</v>
      </c>
      <c r="BH98" s="9">
        <f t="shared" si="52"/>
        <v>89.809582927146721</v>
      </c>
      <c r="BI98" s="9">
        <f t="shared" si="53"/>
        <v>0.14844753129927268</v>
      </c>
      <c r="BJ98" s="9">
        <f t="shared" si="71"/>
        <v>-12.004346216311184</v>
      </c>
    </row>
    <row r="99" spans="1:62" x14ac:dyDescent="0.3">
      <c r="A99" s="10">
        <v>41918</v>
      </c>
      <c r="B99" s="9">
        <v>4454.7998049999997</v>
      </c>
      <c r="C99" s="11">
        <f t="shared" si="54"/>
        <v>-4.6519390510641806E-3</v>
      </c>
      <c r="D99" s="9">
        <f t="shared" si="36"/>
        <v>105.4370502513349</v>
      </c>
      <c r="E99" s="9">
        <f t="shared" si="37"/>
        <v>0.88164780382153762</v>
      </c>
      <c r="F99" s="9">
        <f t="shared" si="55"/>
        <v>-86.738023371556437</v>
      </c>
      <c r="G99" s="9"/>
      <c r="H99" s="10">
        <v>42108</v>
      </c>
      <c r="I99" s="9">
        <v>4977.2900390000004</v>
      </c>
      <c r="J99" s="11">
        <f t="shared" si="56"/>
        <v>-2.1971555154612472E-3</v>
      </c>
      <c r="K99" s="9">
        <f t="shared" si="38"/>
        <v>105.28710452618566</v>
      </c>
      <c r="L99" s="9">
        <f t="shared" si="39"/>
        <v>0.85007000841638691</v>
      </c>
      <c r="M99" s="9">
        <f t="shared" si="57"/>
        <v>-83.612928991222248</v>
      </c>
      <c r="N99" s="9"/>
      <c r="O99" s="10">
        <v>42293</v>
      </c>
      <c r="P99" s="9">
        <v>4886.6899409999996</v>
      </c>
      <c r="Q99" s="11">
        <f t="shared" si="58"/>
        <v>3.4064685871267172E-3</v>
      </c>
      <c r="R99" s="9">
        <f t="shared" si="40"/>
        <v>97.463432976279449</v>
      </c>
      <c r="S99" s="9">
        <f t="shared" si="41"/>
        <v>0.39196604776430488</v>
      </c>
      <c r="T99" s="9">
        <f t="shared" si="59"/>
        <v>-36.494701857566717</v>
      </c>
      <c r="U99" s="9"/>
      <c r="V99" s="10">
        <v>42485</v>
      </c>
      <c r="W99" s="9">
        <v>4895.7900390000004</v>
      </c>
      <c r="X99" s="11">
        <f t="shared" si="60"/>
        <v>-2.1278947465890367E-3</v>
      </c>
      <c r="Y99" s="9">
        <f t="shared" si="42"/>
        <v>99.236233840321262</v>
      </c>
      <c r="Z99" s="9">
        <f t="shared" si="43"/>
        <v>0.48231666004952634</v>
      </c>
      <c r="AA99" s="9">
        <f t="shared" si="61"/>
        <v>-45.410187233934877</v>
      </c>
      <c r="AB99" s="9"/>
      <c r="AC99" s="10">
        <v>42670</v>
      </c>
      <c r="AD99" s="9">
        <v>5215.9702150000003</v>
      </c>
      <c r="AE99" s="11">
        <f t="shared" si="62"/>
        <v>-6.5329601847791538E-3</v>
      </c>
      <c r="AF99" s="9">
        <f t="shared" si="44"/>
        <v>107.83013880012973</v>
      </c>
      <c r="AG99" s="9">
        <f t="shared" si="45"/>
        <v>0.93258805710819492</v>
      </c>
      <c r="AH99" s="9">
        <f t="shared" si="63"/>
        <v>-92.622906710540519</v>
      </c>
      <c r="AI99" s="9"/>
      <c r="AJ99" s="10">
        <v>42860</v>
      </c>
      <c r="AK99" s="9">
        <v>6100.7597660000001</v>
      </c>
      <c r="AL99" s="11">
        <f t="shared" si="64"/>
        <v>4.1841152351509573E-3</v>
      </c>
      <c r="AM99" s="9">
        <f t="shared" si="46"/>
        <v>111.99356490512903</v>
      </c>
      <c r="AN99" s="9">
        <f t="shared" si="47"/>
        <v>0.99888901352612303</v>
      </c>
      <c r="AO99" s="9">
        <f t="shared" si="65"/>
        <v>-99.451278631736926</v>
      </c>
      <c r="AP99" s="9"/>
      <c r="AQ99" s="10">
        <v>43047</v>
      </c>
      <c r="AR99" s="9">
        <v>6789.1201170000004</v>
      </c>
      <c r="AS99" s="11">
        <f t="shared" si="66"/>
        <v>3.1532249390411678E-3</v>
      </c>
      <c r="AT99" s="9">
        <f t="shared" si="48"/>
        <v>110.56442724178891</v>
      </c>
      <c r="AU99" s="9">
        <f t="shared" si="49"/>
        <v>0.9965769693429587</v>
      </c>
      <c r="AV99" s="9">
        <f t="shared" si="67"/>
        <v>-99.49472830361691</v>
      </c>
      <c r="AW99" s="9"/>
      <c r="AX99" s="10">
        <v>43237</v>
      </c>
      <c r="AY99" s="9">
        <v>7382.4702150000003</v>
      </c>
      <c r="AZ99" s="11">
        <f t="shared" si="68"/>
        <v>-2.1396253757250071E-3</v>
      </c>
      <c r="BA99" s="9">
        <f t="shared" si="50"/>
        <v>103.44577995514632</v>
      </c>
      <c r="BB99" s="9">
        <f t="shared" si="51"/>
        <v>0.70327586501606143</v>
      </c>
      <c r="BC99" s="9">
        <f t="shared" si="69"/>
        <v>-68.086662594515118</v>
      </c>
      <c r="BD99" s="9"/>
      <c r="BE99" s="10">
        <v>43424</v>
      </c>
      <c r="BF99" s="9">
        <v>6908.8198240000002</v>
      </c>
      <c r="BG99" s="11">
        <f t="shared" si="70"/>
        <v>-1.7025040455475541E-2</v>
      </c>
      <c r="BH99" s="9">
        <f t="shared" si="52"/>
        <v>88.280571144522654</v>
      </c>
      <c r="BI99" s="9">
        <f t="shared" si="53"/>
        <v>0.10874607010874879</v>
      </c>
      <c r="BJ99" s="9">
        <f t="shared" si="71"/>
        <v>-8.4999718865732365</v>
      </c>
    </row>
    <row r="100" spans="1:62" x14ac:dyDescent="0.3">
      <c r="A100" s="10">
        <v>41919</v>
      </c>
      <c r="B100" s="9">
        <v>4385.2001950000003</v>
      </c>
      <c r="C100" s="11">
        <f t="shared" si="54"/>
        <v>-1.5623510156815972E-2</v>
      </c>
      <c r="D100" s="9">
        <f t="shared" si="36"/>
        <v>103.78975342582845</v>
      </c>
      <c r="E100" s="9">
        <f t="shared" si="37"/>
        <v>0.80479017834507316</v>
      </c>
      <c r="F100" s="9">
        <f t="shared" si="55"/>
        <v>-78.764554024008163</v>
      </c>
      <c r="G100" s="9"/>
      <c r="H100" s="10">
        <v>42109</v>
      </c>
      <c r="I100" s="9">
        <v>5011.0200199999999</v>
      </c>
      <c r="J100" s="11">
        <f t="shared" si="56"/>
        <v>6.7767762649363853E-3</v>
      </c>
      <c r="K100" s="9">
        <f t="shared" si="38"/>
        <v>106.00061167714262</v>
      </c>
      <c r="L100" s="9">
        <f t="shared" si="39"/>
        <v>0.87961060747165887</v>
      </c>
      <c r="M100" s="9">
        <f t="shared" si="57"/>
        <v>-86.747686778763793</v>
      </c>
      <c r="N100" s="9"/>
      <c r="O100" s="10">
        <v>42296</v>
      </c>
      <c r="P100" s="9">
        <v>4905.4702150000003</v>
      </c>
      <c r="Q100" s="11">
        <f t="shared" si="58"/>
        <v>3.8431482714775022E-3</v>
      </c>
      <c r="R100" s="9">
        <f t="shared" si="40"/>
        <v>97.837999400254503</v>
      </c>
      <c r="S100" s="9">
        <f t="shared" si="41"/>
        <v>0.40776244300610159</v>
      </c>
      <c r="T100" s="9">
        <f t="shared" si="59"/>
        <v>-38.044689189932562</v>
      </c>
      <c r="U100" s="9"/>
      <c r="V100" s="10">
        <v>42486</v>
      </c>
      <c r="W100" s="9">
        <v>4888.2797849999997</v>
      </c>
      <c r="X100" s="11">
        <f t="shared" si="60"/>
        <v>-1.5340228931743029E-3</v>
      </c>
      <c r="Y100" s="9">
        <f t="shared" si="42"/>
        <v>99.084003185777817</v>
      </c>
      <c r="Z100" s="9">
        <f t="shared" si="43"/>
        <v>0.47275508756157852</v>
      </c>
      <c r="AA100" s="9">
        <f t="shared" si="61"/>
        <v>-44.464654565502642</v>
      </c>
      <c r="AB100" s="9"/>
      <c r="AC100" s="10">
        <v>42671</v>
      </c>
      <c r="AD100" s="9">
        <v>5190.1000979999999</v>
      </c>
      <c r="AE100" s="11">
        <f t="shared" si="62"/>
        <v>-4.95979001674579E-3</v>
      </c>
      <c r="AF100" s="9">
        <f t="shared" si="44"/>
        <v>107.29532395420453</v>
      </c>
      <c r="AG100" s="9">
        <f t="shared" si="45"/>
        <v>0.92116199179369251</v>
      </c>
      <c r="AH100" s="9">
        <f t="shared" si="63"/>
        <v>-91.400749830137997</v>
      </c>
      <c r="AI100" s="9"/>
      <c r="AJ100" s="10">
        <v>42863</v>
      </c>
      <c r="AK100" s="9">
        <v>6102.6601559999999</v>
      </c>
      <c r="AL100" s="11">
        <f t="shared" si="64"/>
        <v>3.1150054630749548E-4</v>
      </c>
      <c r="AM100" s="9">
        <f t="shared" si="46"/>
        <v>112.02845096177991</v>
      </c>
      <c r="AN100" s="9">
        <f t="shared" si="47"/>
        <v>0.99918326262442148</v>
      </c>
      <c r="AO100" s="9">
        <f t="shared" si="65"/>
        <v>-99.496504774813161</v>
      </c>
      <c r="AP100" s="9"/>
      <c r="AQ100" s="10">
        <v>43048</v>
      </c>
      <c r="AR100" s="9">
        <v>6750.0498049999997</v>
      </c>
      <c r="AS100" s="11">
        <f t="shared" si="66"/>
        <v>-5.7548417654547648E-3</v>
      </c>
      <c r="AT100" s="9">
        <f t="shared" si="48"/>
        <v>109.92814645812426</v>
      </c>
      <c r="AU100" s="9">
        <f t="shared" si="49"/>
        <v>0.99498400854707525</v>
      </c>
      <c r="AV100" s="9">
        <f t="shared" si="67"/>
        <v>-99.323705984413905</v>
      </c>
      <c r="AW100" s="9"/>
      <c r="AX100" s="10">
        <v>43238</v>
      </c>
      <c r="AY100" s="9">
        <v>7354.3398440000001</v>
      </c>
      <c r="AZ100" s="11">
        <f t="shared" si="68"/>
        <v>-3.810427970687071E-3</v>
      </c>
      <c r="BA100" s="9">
        <f t="shared" si="50"/>
        <v>103.05160726175569</v>
      </c>
      <c r="BB100" s="9">
        <f t="shared" si="51"/>
        <v>0.68597750247464195</v>
      </c>
      <c r="BC100" s="9">
        <f t="shared" si="69"/>
        <v>-66.306836671145348</v>
      </c>
      <c r="BD100" s="9"/>
      <c r="BE100" s="10">
        <v>43425</v>
      </c>
      <c r="BF100" s="9">
        <v>6972.25</v>
      </c>
      <c r="BG100" s="11">
        <f t="shared" si="70"/>
        <v>9.1810435958475569E-3</v>
      </c>
      <c r="BH100" s="9">
        <f t="shared" si="52"/>
        <v>89.091078916866834</v>
      </c>
      <c r="BI100" s="9">
        <f t="shared" si="53"/>
        <v>0.12534503152533205</v>
      </c>
      <c r="BJ100" s="9">
        <f t="shared" si="71"/>
        <v>-9.9791405891670113</v>
      </c>
    </row>
    <row r="101" spans="1:62" x14ac:dyDescent="0.3">
      <c r="A101" s="10">
        <v>41920</v>
      </c>
      <c r="B101" s="9">
        <v>4468.5898440000001</v>
      </c>
      <c r="C101" s="11">
        <f t="shared" si="54"/>
        <v>1.9016155544068547E-2</v>
      </c>
      <c r="D101" s="9">
        <f t="shared" si="36"/>
        <v>105.76343552085451</v>
      </c>
      <c r="E101" s="9">
        <f t="shared" si="37"/>
        <v>0.89792964940075448</v>
      </c>
      <c r="F101" s="9">
        <f t="shared" si="55"/>
        <v>-88.61854143144518</v>
      </c>
      <c r="G101" s="9"/>
      <c r="H101" s="10">
        <v>42110</v>
      </c>
      <c r="I101" s="9">
        <v>5007.7900390000004</v>
      </c>
      <c r="J101" s="11">
        <f t="shared" si="56"/>
        <v>-6.4457555290299909E-4</v>
      </c>
      <c r="K101" s="9">
        <f t="shared" si="38"/>
        <v>105.93228627426274</v>
      </c>
      <c r="L101" s="9">
        <f t="shared" si="39"/>
        <v>0.87908825667456514</v>
      </c>
      <c r="M101" s="9">
        <f t="shared" si="57"/>
        <v>-86.695918011273605</v>
      </c>
      <c r="N101" s="9"/>
      <c r="O101" s="10">
        <v>42297</v>
      </c>
      <c r="P101" s="9">
        <v>4880.9702150000003</v>
      </c>
      <c r="Q101" s="11">
        <f t="shared" si="58"/>
        <v>-4.9944243724248149E-3</v>
      </c>
      <c r="R101" s="9">
        <f t="shared" si="40"/>
        <v>97.349354911500583</v>
      </c>
      <c r="S101" s="9">
        <f t="shared" si="41"/>
        <v>0.37978709895949403</v>
      </c>
      <c r="T101" s="9">
        <f t="shared" si="59"/>
        <v>-35.32287100607244</v>
      </c>
      <c r="U101" s="9"/>
      <c r="V101" s="10">
        <v>42487</v>
      </c>
      <c r="W101" s="9">
        <v>4863.1401370000003</v>
      </c>
      <c r="X101" s="11">
        <f t="shared" si="60"/>
        <v>-5.1428414709694037E-3</v>
      </c>
      <c r="Y101" s="9">
        <f t="shared" si="42"/>
        <v>98.57442986508434</v>
      </c>
      <c r="Z101" s="9">
        <f t="shared" si="43"/>
        <v>0.44196519795439204</v>
      </c>
      <c r="AA101" s="9">
        <f t="shared" si="61"/>
        <v>-41.431386103984607</v>
      </c>
      <c r="AB101" s="9"/>
      <c r="AC101" s="10">
        <v>42674</v>
      </c>
      <c r="AD101" s="9">
        <v>5189.1401370000003</v>
      </c>
      <c r="AE101" s="11">
        <f t="shared" si="62"/>
        <v>-1.8496001654563204E-4</v>
      </c>
      <c r="AF101" s="9">
        <f t="shared" si="44"/>
        <v>107.27547860931068</v>
      </c>
      <c r="AG101" s="9">
        <f t="shared" si="45"/>
        <v>0.92595918250904929</v>
      </c>
      <c r="AH101" s="9">
        <f t="shared" si="63"/>
        <v>-91.926640040370927</v>
      </c>
      <c r="AI101" s="9"/>
      <c r="AJ101" s="10">
        <v>42864</v>
      </c>
      <c r="AK101" s="9">
        <v>6120.5898440000001</v>
      </c>
      <c r="AL101" s="11">
        <f t="shared" si="64"/>
        <v>2.9380118737845984E-3</v>
      </c>
      <c r="AM101" s="9">
        <f t="shared" si="46"/>
        <v>112.35759188090732</v>
      </c>
      <c r="AN101" s="9">
        <f t="shared" si="47"/>
        <v>0.99944150825075961</v>
      </c>
      <c r="AO101" s="9">
        <f t="shared" si="65"/>
        <v>-99.529609612978376</v>
      </c>
      <c r="AP101" s="9"/>
      <c r="AQ101" s="10">
        <v>43049</v>
      </c>
      <c r="AR101" s="9">
        <v>6750.9399409999996</v>
      </c>
      <c r="AS101" s="11">
        <f t="shared" si="66"/>
        <v>1.3187102698718295E-4</v>
      </c>
      <c r="AT101" s="9">
        <f t="shared" si="48"/>
        <v>109.94264279569251</v>
      </c>
      <c r="AU101" s="9">
        <f t="shared" si="49"/>
        <v>0.99534014985532693</v>
      </c>
      <c r="AV101" s="9">
        <f t="shared" si="67"/>
        <v>-99.366942981061811</v>
      </c>
      <c r="AW101" s="9"/>
      <c r="AX101" s="10">
        <v>43241</v>
      </c>
      <c r="AY101" s="9">
        <v>7394.0400390000004</v>
      </c>
      <c r="AZ101" s="11">
        <f t="shared" si="68"/>
        <v>5.3981996810209343E-3</v>
      </c>
      <c r="BA101" s="9">
        <f t="shared" si="50"/>
        <v>103.60790041520478</v>
      </c>
      <c r="BB101" s="9">
        <f t="shared" si="51"/>
        <v>0.71610286443411719</v>
      </c>
      <c r="BC101" s="9">
        <f t="shared" si="69"/>
        <v>-69.436237492442359</v>
      </c>
      <c r="BD101" s="9"/>
      <c r="BE101" s="10">
        <v>43427</v>
      </c>
      <c r="BF101" s="9">
        <v>6938.9799800000001</v>
      </c>
      <c r="BG101" s="11">
        <f t="shared" si="70"/>
        <v>-4.7717766861486511E-3</v>
      </c>
      <c r="BH101" s="9">
        <f t="shared" si="52"/>
        <v>88.665956183547507</v>
      </c>
      <c r="BI101" s="9">
        <f t="shared" si="53"/>
        <v>0.11058776282977001</v>
      </c>
      <c r="BJ101" s="9">
        <f t="shared" si="71"/>
        <v>-8.6714934866614772</v>
      </c>
    </row>
    <row r="102" spans="1:62" x14ac:dyDescent="0.3">
      <c r="A102" s="10">
        <v>41921</v>
      </c>
      <c r="B102" s="9">
        <v>4378.3398440000001</v>
      </c>
      <c r="C102" s="11">
        <f t="shared" si="54"/>
        <v>-2.0196528021290468E-2</v>
      </c>
      <c r="D102" s="9">
        <f t="shared" si="36"/>
        <v>103.62738133172964</v>
      </c>
      <c r="E102" s="9">
        <f t="shared" si="37"/>
        <v>0.79933673285380558</v>
      </c>
      <c r="F102" s="9">
        <f t="shared" si="55"/>
        <v>-78.405257604527861</v>
      </c>
      <c r="G102" s="9"/>
      <c r="H102" s="10">
        <v>42111</v>
      </c>
      <c r="I102" s="9">
        <v>4931.8100590000004</v>
      </c>
      <c r="J102" s="11">
        <f t="shared" si="56"/>
        <v>-1.517235734890603E-2</v>
      </c>
      <c r="K102" s="9">
        <f t="shared" si="38"/>
        <v>104.32504377212301</v>
      </c>
      <c r="L102" s="9">
        <f t="shared" si="39"/>
        <v>0.81193054624134797</v>
      </c>
      <c r="M102" s="9">
        <f t="shared" si="57"/>
        <v>-79.693249849848485</v>
      </c>
      <c r="N102" s="9"/>
      <c r="O102" s="10">
        <v>42298</v>
      </c>
      <c r="P102" s="9">
        <v>4840.1201170000004</v>
      </c>
      <c r="Q102" s="11">
        <f t="shared" si="58"/>
        <v>-8.3692577910967417E-3</v>
      </c>
      <c r="R102" s="9">
        <f t="shared" si="40"/>
        <v>96.534613064449275</v>
      </c>
      <c r="S102" s="9">
        <f t="shared" si="41"/>
        <v>0.33445039695393936</v>
      </c>
      <c r="T102" s="9">
        <f t="shared" si="59"/>
        <v>-30.94776167501216</v>
      </c>
      <c r="U102" s="9"/>
      <c r="V102" s="10">
        <v>42488</v>
      </c>
      <c r="W102" s="9">
        <v>4805.2900390000004</v>
      </c>
      <c r="X102" s="11">
        <f t="shared" si="60"/>
        <v>-1.1895626358751563E-2</v>
      </c>
      <c r="Y102" s="9">
        <f t="shared" si="42"/>
        <v>97.401825278882328</v>
      </c>
      <c r="Z102" s="9">
        <f t="shared" si="43"/>
        <v>0.37214481044269321</v>
      </c>
      <c r="AA102" s="9">
        <f t="shared" si="61"/>
        <v>-34.632455613355795</v>
      </c>
      <c r="AB102" s="9"/>
      <c r="AC102" s="10">
        <v>42675</v>
      </c>
      <c r="AD102" s="9">
        <v>5153.580078</v>
      </c>
      <c r="AE102" s="11">
        <f t="shared" si="62"/>
        <v>-6.8527844808906465E-3</v>
      </c>
      <c r="AF102" s="9">
        <f t="shared" si="44"/>
        <v>106.54034287431668</v>
      </c>
      <c r="AG102" s="9">
        <f t="shared" si="45"/>
        <v>0.90707864251937531</v>
      </c>
      <c r="AH102" s="9">
        <f t="shared" si="63"/>
        <v>-89.91887872097098</v>
      </c>
      <c r="AI102" s="9"/>
      <c r="AJ102" s="10">
        <v>42865</v>
      </c>
      <c r="AK102" s="9">
        <v>6129.1401370000003</v>
      </c>
      <c r="AL102" s="11">
        <f t="shared" si="64"/>
        <v>1.3969720595445666E-3</v>
      </c>
      <c r="AM102" s="9">
        <f t="shared" si="46"/>
        <v>112.51455229744268</v>
      </c>
      <c r="AN102" s="9">
        <f t="shared" si="47"/>
        <v>0.99956378731396123</v>
      </c>
      <c r="AO102" s="9">
        <f t="shared" si="65"/>
        <v>-99.547458129006685</v>
      </c>
      <c r="AP102" s="9"/>
      <c r="AQ102" s="10">
        <v>43052</v>
      </c>
      <c r="AR102" s="9">
        <v>6757.6000979999999</v>
      </c>
      <c r="AS102" s="11">
        <f t="shared" si="66"/>
        <v>9.865525479721127E-4</v>
      </c>
      <c r="AT102" s="9">
        <f t="shared" si="48"/>
        <v>110.05110699007336</v>
      </c>
      <c r="AU102" s="9">
        <f t="shared" si="49"/>
        <v>0.99649738969047996</v>
      </c>
      <c r="AV102" s="9">
        <f t="shared" si="67"/>
        <v>-99.506549980183436</v>
      </c>
      <c r="AW102" s="9"/>
      <c r="AX102" s="10">
        <v>43242</v>
      </c>
      <c r="AY102" s="9">
        <v>7378.4599609999996</v>
      </c>
      <c r="AZ102" s="11">
        <f t="shared" si="68"/>
        <v>-2.1071130150531318E-3</v>
      </c>
      <c r="BA102" s="9">
        <f t="shared" si="50"/>
        <v>103.38958685977757</v>
      </c>
      <c r="BB102" s="9">
        <f t="shared" si="51"/>
        <v>0.70719573908149891</v>
      </c>
      <c r="BC102" s="9">
        <f t="shared" si="69"/>
        <v>-68.518187084768712</v>
      </c>
      <c r="BD102" s="9"/>
      <c r="BE102" s="10">
        <v>43430</v>
      </c>
      <c r="BF102" s="9">
        <v>7081.8500979999999</v>
      </c>
      <c r="BG102" s="11">
        <f t="shared" si="70"/>
        <v>2.0589498515889912E-2</v>
      </c>
      <c r="BH102" s="9">
        <f t="shared" si="52"/>
        <v>90.49154375679862</v>
      </c>
      <c r="BI102" s="9">
        <f t="shared" si="53"/>
        <v>0.14994392808740201</v>
      </c>
      <c r="BJ102" s="9">
        <f t="shared" si="71"/>
        <v>-12.233962791315772</v>
      </c>
    </row>
    <row r="103" spans="1:62" x14ac:dyDescent="0.3">
      <c r="A103" s="10">
        <v>41922</v>
      </c>
      <c r="B103" s="9">
        <v>4276.2402339999999</v>
      </c>
      <c r="C103" s="11">
        <f t="shared" si="54"/>
        <v>-2.3319251962571091E-2</v>
      </c>
      <c r="D103" s="9">
        <f t="shared" si="36"/>
        <v>101.2108683162336</v>
      </c>
      <c r="E103" s="9">
        <f t="shared" si="37"/>
        <v>0.62938190868236332</v>
      </c>
      <c r="F103" s="9">
        <f t="shared" si="55"/>
        <v>-61.207204475686666</v>
      </c>
      <c r="G103" s="9"/>
      <c r="H103" s="10">
        <v>42114</v>
      </c>
      <c r="I103" s="9">
        <v>4994.6000979999999</v>
      </c>
      <c r="J103" s="11">
        <f t="shared" si="56"/>
        <v>1.2731641780367179E-2</v>
      </c>
      <c r="K103" s="9">
        <f t="shared" si="38"/>
        <v>105.65327285815083</v>
      </c>
      <c r="L103" s="9">
        <f t="shared" si="39"/>
        <v>0.87686869397085354</v>
      </c>
      <c r="M103" s="9">
        <f t="shared" si="57"/>
        <v>-86.564003491691423</v>
      </c>
      <c r="N103" s="9"/>
      <c r="O103" s="10">
        <v>42299</v>
      </c>
      <c r="P103" s="9">
        <v>4920.0498049999997</v>
      </c>
      <c r="Q103" s="11">
        <f t="shared" si="58"/>
        <v>1.6513988510173837E-2</v>
      </c>
      <c r="R103" s="9">
        <f t="shared" si="40"/>
        <v>98.128784555429661</v>
      </c>
      <c r="S103" s="9">
        <f t="shared" si="41"/>
        <v>0.4197956514927868</v>
      </c>
      <c r="T103" s="9">
        <f t="shared" si="59"/>
        <v>-39.323859622439052</v>
      </c>
      <c r="U103" s="9"/>
      <c r="V103" s="10">
        <v>42489</v>
      </c>
      <c r="W103" s="9">
        <v>4775.3598629999997</v>
      </c>
      <c r="X103" s="11">
        <f t="shared" si="60"/>
        <v>-6.2285888587547862E-3</v>
      </c>
      <c r="Y103" s="9">
        <f t="shared" si="42"/>
        <v>96.79514935512789</v>
      </c>
      <c r="Z103" s="9">
        <f t="shared" si="43"/>
        <v>0.3356453867396455</v>
      </c>
      <c r="AA103" s="9">
        <f t="shared" si="61"/>
        <v>-31.100911725489038</v>
      </c>
      <c r="AB103" s="9"/>
      <c r="AC103" s="10">
        <v>42676</v>
      </c>
      <c r="AD103" s="9">
        <v>5105.5698240000002</v>
      </c>
      <c r="AE103" s="11">
        <f t="shared" si="62"/>
        <v>-9.3159033668555342E-3</v>
      </c>
      <c r="AF103" s="9">
        <f t="shared" si="44"/>
        <v>105.54782333542789</v>
      </c>
      <c r="AG103" s="9">
        <f t="shared" si="45"/>
        <v>0.87440971231898901</v>
      </c>
      <c r="AH103" s="9">
        <f t="shared" si="63"/>
        <v>-86.474439619940753</v>
      </c>
      <c r="AI103" s="9"/>
      <c r="AJ103" s="10">
        <v>42866</v>
      </c>
      <c r="AK103" s="9">
        <v>6115.9599609999996</v>
      </c>
      <c r="AL103" s="11">
        <f t="shared" si="64"/>
        <v>-2.1504119183758772E-3</v>
      </c>
      <c r="AM103" s="9">
        <f t="shared" si="46"/>
        <v>112.27259966319151</v>
      </c>
      <c r="AN103" s="9">
        <f t="shared" si="47"/>
        <v>0.99951830409294995</v>
      </c>
      <c r="AO103" s="9">
        <f t="shared" si="65"/>
        <v>-99.54644268503526</v>
      </c>
      <c r="AP103" s="9"/>
      <c r="AQ103" s="10">
        <v>43053</v>
      </c>
      <c r="AR103" s="9">
        <v>6737.8701170000004</v>
      </c>
      <c r="AS103" s="11">
        <f t="shared" si="66"/>
        <v>-2.9196727704912345E-3</v>
      </c>
      <c r="AT103" s="9">
        <f t="shared" si="48"/>
        <v>109.72979376963204</v>
      </c>
      <c r="AU103" s="9">
        <f t="shared" si="49"/>
        <v>0.9958626626613416</v>
      </c>
      <c r="AV103" s="9">
        <f t="shared" si="67"/>
        <v>-99.440990908477289</v>
      </c>
      <c r="AW103" s="9"/>
      <c r="AX103" s="10">
        <v>43243</v>
      </c>
      <c r="AY103" s="9">
        <v>7425.9599609999996</v>
      </c>
      <c r="AZ103" s="11">
        <f t="shared" si="68"/>
        <v>6.4376577566414477E-3</v>
      </c>
      <c r="BA103" s="9">
        <f t="shared" si="50"/>
        <v>104.05517363558138</v>
      </c>
      <c r="BB103" s="9">
        <f t="shared" si="51"/>
        <v>0.73980154827511801</v>
      </c>
      <c r="BC103" s="9">
        <f t="shared" si="69"/>
        <v>-71.913806095707002</v>
      </c>
      <c r="BD103" s="9"/>
      <c r="BE103" s="10">
        <v>43431</v>
      </c>
      <c r="BF103" s="9">
        <v>7082.7001950000003</v>
      </c>
      <c r="BG103" s="11">
        <f t="shared" si="70"/>
        <v>1.2003883000016305E-4</v>
      </c>
      <c r="BH103" s="9">
        <f t="shared" si="52"/>
        <v>90.502406255836092</v>
      </c>
      <c r="BI103" s="9">
        <f t="shared" si="53"/>
        <v>0.14759969262627545</v>
      </c>
      <c r="BJ103" s="9">
        <f t="shared" si="71"/>
        <v>-12.022306617178664</v>
      </c>
    </row>
    <row r="104" spans="1:62" x14ac:dyDescent="0.3">
      <c r="A104" s="10">
        <v>41925</v>
      </c>
      <c r="B104" s="9">
        <v>4213.6601559999999</v>
      </c>
      <c r="C104" s="11">
        <f t="shared" si="54"/>
        <v>-1.463436911294913E-2</v>
      </c>
      <c r="D104" s="9">
        <f t="shared" si="36"/>
        <v>99.729711111051756</v>
      </c>
      <c r="E104" s="9">
        <f t="shared" si="37"/>
        <v>0.50148289742852514</v>
      </c>
      <c r="F104" s="9">
        <f t="shared" si="55"/>
        <v>-48.459419590843993</v>
      </c>
      <c r="G104" s="9"/>
      <c r="H104" s="10">
        <v>42115</v>
      </c>
      <c r="I104" s="9">
        <v>5014.1000979999999</v>
      </c>
      <c r="J104" s="11">
        <f t="shared" si="56"/>
        <v>3.9042164772728118E-3</v>
      </c>
      <c r="K104" s="9">
        <f t="shared" si="38"/>
        <v>106.0657661069214</v>
      </c>
      <c r="L104" s="9">
        <f t="shared" si="39"/>
        <v>0.89407365660894833</v>
      </c>
      <c r="M104" s="9">
        <f t="shared" si="57"/>
        <v>-88.392418532641699</v>
      </c>
      <c r="N104" s="9"/>
      <c r="O104" s="10">
        <v>42300</v>
      </c>
      <c r="P104" s="9">
        <v>5031.8598629999997</v>
      </c>
      <c r="Q104" s="11">
        <f t="shared" si="58"/>
        <v>2.2725391496316374E-2</v>
      </c>
      <c r="R104" s="9">
        <f t="shared" si="40"/>
        <v>100.35879960150949</v>
      </c>
      <c r="S104" s="9">
        <f t="shared" si="41"/>
        <v>0.5454648769709729</v>
      </c>
      <c r="T104" s="9">
        <f t="shared" si="59"/>
        <v>-51.937488320513758</v>
      </c>
      <c r="U104" s="9"/>
      <c r="V104" s="10">
        <v>42492</v>
      </c>
      <c r="W104" s="9">
        <v>4817.5898440000001</v>
      </c>
      <c r="X104" s="11">
        <f t="shared" si="60"/>
        <v>8.8433086116091117E-3</v>
      </c>
      <c r="Y104" s="9">
        <f t="shared" si="42"/>
        <v>97.651138732982091</v>
      </c>
      <c r="Z104" s="9">
        <f t="shared" si="43"/>
        <v>0.37984165690087435</v>
      </c>
      <c r="AA104" s="9">
        <f t="shared" si="61"/>
        <v>-35.420562429837716</v>
      </c>
      <c r="AB104" s="9"/>
      <c r="AC104" s="10">
        <v>42677</v>
      </c>
      <c r="AD104" s="9">
        <v>5058.4101559999999</v>
      </c>
      <c r="AE104" s="11">
        <f t="shared" si="62"/>
        <v>-9.2369058940912907E-3</v>
      </c>
      <c r="AF104" s="9">
        <f t="shared" si="44"/>
        <v>104.57288802395237</v>
      </c>
      <c r="AG104" s="9">
        <f t="shared" si="45"/>
        <v>0.83400464210990843</v>
      </c>
      <c r="AH104" s="9">
        <f t="shared" si="63"/>
        <v>-82.252718554483735</v>
      </c>
      <c r="AI104" s="9"/>
      <c r="AJ104" s="10">
        <v>42867</v>
      </c>
      <c r="AK104" s="9">
        <v>6121.2299800000001</v>
      </c>
      <c r="AL104" s="11">
        <f t="shared" si="64"/>
        <v>8.6168304462523322E-4</v>
      </c>
      <c r="AM104" s="9">
        <f t="shared" si="46"/>
        <v>112.36934305869728</v>
      </c>
      <c r="AN104" s="9">
        <f t="shared" si="47"/>
        <v>0.99960737846095582</v>
      </c>
      <c r="AO104" s="9">
        <f t="shared" si="65"/>
        <v>-99.560542947012593</v>
      </c>
      <c r="AP104" s="9"/>
      <c r="AQ104" s="10">
        <v>43054</v>
      </c>
      <c r="AR104" s="9">
        <v>6706.2099609999996</v>
      </c>
      <c r="AS104" s="11">
        <f t="shared" si="66"/>
        <v>-4.6988373848466727E-3</v>
      </c>
      <c r="AT104" s="9">
        <f t="shared" si="48"/>
        <v>109.21419131243577</v>
      </c>
      <c r="AU104" s="9">
        <f t="shared" si="49"/>
        <v>0.9943621131208098</v>
      </c>
      <c r="AV104" s="9">
        <f t="shared" si="67"/>
        <v>-99.281196303921291</v>
      </c>
      <c r="AW104" s="9"/>
      <c r="AX104" s="10">
        <v>43244</v>
      </c>
      <c r="AY104" s="9">
        <v>7424.4301759999998</v>
      </c>
      <c r="AZ104" s="11">
        <f t="shared" si="68"/>
        <v>-2.060050159217011E-4</v>
      </c>
      <c r="BA104" s="9">
        <f t="shared" si="50"/>
        <v>104.03373774787985</v>
      </c>
      <c r="BB104" s="9">
        <f t="shared" si="51"/>
        <v>0.7405144438241652</v>
      </c>
      <c r="BC104" s="9">
        <f t="shared" si="69"/>
        <v>-71.990926706919993</v>
      </c>
      <c r="BD104" s="9"/>
      <c r="BE104" s="10">
        <v>43432</v>
      </c>
      <c r="BF104" s="9">
        <v>7291.5898440000001</v>
      </c>
      <c r="BG104" s="11">
        <f t="shared" si="70"/>
        <v>2.9492939592087271E-2</v>
      </c>
      <c r="BH104" s="9">
        <f t="shared" si="52"/>
        <v>93.171588256478017</v>
      </c>
      <c r="BI104" s="9">
        <f t="shared" si="53"/>
        <v>0.23252032672770348</v>
      </c>
      <c r="BJ104" s="9">
        <f t="shared" si="71"/>
        <v>-19.934991049703378</v>
      </c>
    </row>
    <row r="105" spans="1:62" x14ac:dyDescent="0.3">
      <c r="A105" s="10">
        <v>41926</v>
      </c>
      <c r="B105" s="9">
        <v>4227.169922</v>
      </c>
      <c r="C105" s="11">
        <f t="shared" si="54"/>
        <v>3.2061831044354703E-3</v>
      </c>
      <c r="D105" s="9">
        <f t="shared" si="36"/>
        <v>100.04946282582623</v>
      </c>
      <c r="E105" s="9">
        <f t="shared" si="37"/>
        <v>0.53005504335006082</v>
      </c>
      <c r="F105" s="9">
        <f t="shared" si="55"/>
        <v>-51.320038965993078</v>
      </c>
      <c r="G105" s="9"/>
      <c r="H105" s="10">
        <v>42116</v>
      </c>
      <c r="I105" s="9">
        <v>5035.169922</v>
      </c>
      <c r="J105" s="11">
        <f t="shared" si="56"/>
        <v>4.2021147540322107E-3</v>
      </c>
      <c r="K105" s="9">
        <f t="shared" si="38"/>
        <v>106.51146662757702</v>
      </c>
      <c r="L105" s="9">
        <f t="shared" si="39"/>
        <v>0.91077432289798765</v>
      </c>
      <c r="M105" s="9">
        <f t="shared" si="57"/>
        <v>-90.174863632532947</v>
      </c>
      <c r="N105" s="9"/>
      <c r="O105" s="10">
        <v>42303</v>
      </c>
      <c r="P105" s="9">
        <v>5034.7001950000003</v>
      </c>
      <c r="Q105" s="11">
        <f t="shared" si="58"/>
        <v>5.6446961507931642E-4</v>
      </c>
      <c r="R105" s="9">
        <f t="shared" si="40"/>
        <v>100.41544909449038</v>
      </c>
      <c r="S105" s="9">
        <f t="shared" si="41"/>
        <v>0.54862102036816551</v>
      </c>
      <c r="T105" s="9">
        <f t="shared" si="59"/>
        <v>-52.260817523871431</v>
      </c>
      <c r="U105" s="9"/>
      <c r="V105" s="10">
        <v>42493</v>
      </c>
      <c r="W105" s="9">
        <v>4763.2202150000003</v>
      </c>
      <c r="X105" s="11">
        <f t="shared" si="60"/>
        <v>-1.1285649206462377E-2</v>
      </c>
      <c r="Y105" s="9">
        <f t="shared" si="42"/>
        <v>96.54908223663007</v>
      </c>
      <c r="Z105" s="9">
        <f t="shared" si="43"/>
        <v>0.3127622282477231</v>
      </c>
      <c r="AA105" s="9">
        <f t="shared" si="61"/>
        <v>-28.945560825881177</v>
      </c>
      <c r="AB105" s="9"/>
      <c r="AC105" s="10">
        <v>42678</v>
      </c>
      <c r="AD105" s="9">
        <v>5046.3701170000004</v>
      </c>
      <c r="AE105" s="11">
        <f t="shared" si="62"/>
        <v>-2.3802022035951972E-3</v>
      </c>
      <c r="AF105" s="9">
        <f t="shared" si="44"/>
        <v>104.32398340544144</v>
      </c>
      <c r="AG105" s="9">
        <f t="shared" si="45"/>
        <v>0.82387894124597905</v>
      </c>
      <c r="AH105" s="9">
        <f t="shared" si="63"/>
        <v>-81.199745423752532</v>
      </c>
      <c r="AI105" s="9"/>
      <c r="AJ105" s="10">
        <v>42870</v>
      </c>
      <c r="AK105" s="9">
        <v>6149.669922</v>
      </c>
      <c r="AL105" s="11">
        <f t="shared" si="64"/>
        <v>4.646115583456639E-3</v>
      </c>
      <c r="AM105" s="9">
        <f t="shared" si="46"/>
        <v>112.89142401458507</v>
      </c>
      <c r="AN105" s="9">
        <f t="shared" si="47"/>
        <v>0.99983977089523068</v>
      </c>
      <c r="AO105" s="9">
        <f t="shared" si="65"/>
        <v>-99.599053404018477</v>
      </c>
      <c r="AP105" s="9"/>
      <c r="AQ105" s="10">
        <v>43055</v>
      </c>
      <c r="AR105" s="9">
        <v>6793.2900390000004</v>
      </c>
      <c r="AS105" s="11">
        <f t="shared" si="66"/>
        <v>1.2984991300065989E-2</v>
      </c>
      <c r="AT105" s="9">
        <f t="shared" si="48"/>
        <v>110.63233663647149</v>
      </c>
      <c r="AU105" s="9">
        <f t="shared" si="49"/>
        <v>0.99825989419440642</v>
      </c>
      <c r="AV105" s="9">
        <f t="shared" si="67"/>
        <v>-99.716497064791639</v>
      </c>
      <c r="AW105" s="9"/>
      <c r="AX105" s="10">
        <v>43245</v>
      </c>
      <c r="AY105" s="9">
        <v>7433.8500979999999</v>
      </c>
      <c r="AZ105" s="11">
        <f t="shared" si="68"/>
        <v>1.2687737343736645E-3</v>
      </c>
      <c r="BA105" s="9">
        <f t="shared" si="50"/>
        <v>104.16573302182309</v>
      </c>
      <c r="BB105" s="9">
        <f t="shared" si="51"/>
        <v>0.74829575759323452</v>
      </c>
      <c r="BC105" s="9">
        <f t="shared" si="69"/>
        <v>-72.804431551575007</v>
      </c>
      <c r="BD105" s="9"/>
      <c r="BE105" s="10">
        <v>43433</v>
      </c>
      <c r="BF105" s="9">
        <v>7273.080078</v>
      </c>
      <c r="BG105" s="11">
        <f t="shared" si="70"/>
        <v>-2.5385089392035922E-3</v>
      </c>
      <c r="BH105" s="9">
        <f t="shared" si="52"/>
        <v>92.935071346809139</v>
      </c>
      <c r="BI105" s="9">
        <f t="shared" si="53"/>
        <v>0.22114728948465942</v>
      </c>
      <c r="BJ105" s="9">
        <f t="shared" si="71"/>
        <v>-18.878856285132738</v>
      </c>
    </row>
    <row r="106" spans="1:62" x14ac:dyDescent="0.3">
      <c r="A106" s="10">
        <v>41927</v>
      </c>
      <c r="B106" s="9">
        <v>4215.3198240000002</v>
      </c>
      <c r="C106" s="11">
        <f t="shared" si="54"/>
        <v>-2.803317164594428E-3</v>
      </c>
      <c r="D106" s="9">
        <f t="shared" si="36"/>
        <v>99.768992449378146</v>
      </c>
      <c r="E106" s="9">
        <f t="shared" si="37"/>
        <v>0.50399337913230169</v>
      </c>
      <c r="F106" s="9">
        <f t="shared" si="55"/>
        <v>-48.722002071467557</v>
      </c>
      <c r="G106" s="9"/>
      <c r="H106" s="10">
        <v>42117</v>
      </c>
      <c r="I106" s="9">
        <v>5056.0600590000004</v>
      </c>
      <c r="J106" s="11">
        <f t="shared" si="56"/>
        <v>4.148844492561362E-3</v>
      </c>
      <c r="K106" s="9">
        <f t="shared" si="38"/>
        <v>106.9533661392895</v>
      </c>
      <c r="L106" s="9">
        <f t="shared" si="39"/>
        <v>0.92559420248518509</v>
      </c>
      <c r="M106" s="9">
        <f t="shared" si="57"/>
        <v>-91.763605532624268</v>
      </c>
      <c r="N106" s="9"/>
      <c r="O106" s="10">
        <v>42304</v>
      </c>
      <c r="P106" s="9">
        <v>5030.1499020000001</v>
      </c>
      <c r="Q106" s="11">
        <f t="shared" si="58"/>
        <v>-9.0378628791425739E-4</v>
      </c>
      <c r="R106" s="9">
        <f t="shared" si="40"/>
        <v>100.32469498850402</v>
      </c>
      <c r="S106" s="9">
        <f t="shared" si="41"/>
        <v>0.54329282668554424</v>
      </c>
      <c r="T106" s="9">
        <f t="shared" si="59"/>
        <v>-51.728415866784047</v>
      </c>
      <c r="U106" s="9"/>
      <c r="V106" s="10">
        <v>42494</v>
      </c>
      <c r="W106" s="9">
        <v>4725.6401370000003</v>
      </c>
      <c r="X106" s="11">
        <f t="shared" si="60"/>
        <v>-7.889636906069428E-3</v>
      </c>
      <c r="Y106" s="9">
        <f t="shared" si="42"/>
        <v>95.787345034168808</v>
      </c>
      <c r="Z106" s="9">
        <f t="shared" si="43"/>
        <v>0.26758682052049965</v>
      </c>
      <c r="AA106" s="9">
        <f t="shared" si="61"/>
        <v>-24.619518026892962</v>
      </c>
      <c r="AB106" s="9"/>
      <c r="AC106" s="10">
        <v>42681</v>
      </c>
      <c r="AD106" s="9">
        <v>5166.169922</v>
      </c>
      <c r="AE106" s="11">
        <f t="shared" si="62"/>
        <v>2.373979756189961E-2</v>
      </c>
      <c r="AF106" s="9">
        <f t="shared" si="44"/>
        <v>106.80061365233759</v>
      </c>
      <c r="AG106" s="9">
        <f t="shared" si="45"/>
        <v>0.92695296019728213</v>
      </c>
      <c r="AH106" s="9">
        <f t="shared" si="63"/>
        <v>-92.218125444019719</v>
      </c>
      <c r="AI106" s="9"/>
      <c r="AJ106" s="10">
        <v>42871</v>
      </c>
      <c r="AK106" s="9">
        <v>6169.8701170000004</v>
      </c>
      <c r="AL106" s="11">
        <f t="shared" si="64"/>
        <v>3.2847608499662088E-3</v>
      </c>
      <c r="AM106" s="9">
        <f t="shared" si="46"/>
        <v>113.26224534448512</v>
      </c>
      <c r="AN106" s="9">
        <f t="shared" si="47"/>
        <v>0.99990565977954371</v>
      </c>
      <c r="AO106" s="9">
        <f t="shared" si="65"/>
        <v>-99.610609322888919</v>
      </c>
      <c r="AP106" s="9"/>
      <c r="AQ106" s="10">
        <v>43056</v>
      </c>
      <c r="AR106" s="9">
        <v>6782.7900390000004</v>
      </c>
      <c r="AS106" s="11">
        <f t="shared" si="66"/>
        <v>-1.5456428239807116E-3</v>
      </c>
      <c r="AT106" s="9">
        <f t="shared" si="48"/>
        <v>110.46133855924911</v>
      </c>
      <c r="AU106" s="9">
        <f t="shared" si="49"/>
        <v>0.99817249410747544</v>
      </c>
      <c r="AV106" s="9">
        <f t="shared" si="67"/>
        <v>-99.710940756639943</v>
      </c>
      <c r="AW106" s="9"/>
      <c r="AX106" s="10">
        <v>43249</v>
      </c>
      <c r="AY106" s="9">
        <v>7396.5898440000001</v>
      </c>
      <c r="AZ106" s="11">
        <f t="shared" si="68"/>
        <v>-5.0122417736166471E-3</v>
      </c>
      <c r="BA106" s="9">
        <f t="shared" si="50"/>
        <v>103.6436291833917</v>
      </c>
      <c r="BB106" s="9">
        <f t="shared" si="51"/>
        <v>0.73087454852198919</v>
      </c>
      <c r="BC106" s="9">
        <f t="shared" si="69"/>
        <v>-71.010803054143366</v>
      </c>
      <c r="BD106" s="9"/>
      <c r="BE106" s="10">
        <v>43434</v>
      </c>
      <c r="BF106" s="9">
        <v>7330.5400390000004</v>
      </c>
      <c r="BG106" s="11">
        <f t="shared" si="70"/>
        <v>7.9003613852415052E-3</v>
      </c>
      <c r="BH106" s="9">
        <f t="shared" si="52"/>
        <v>93.669291995812145</v>
      </c>
      <c r="BI106" s="9">
        <f t="shared" si="53"/>
        <v>0.24602946202440251</v>
      </c>
      <c r="BJ106" s="9">
        <f t="shared" si="71"/>
        <v>-21.210327629599295</v>
      </c>
    </row>
    <row r="107" spans="1:62" x14ac:dyDescent="0.3">
      <c r="A107" s="10">
        <v>41928</v>
      </c>
      <c r="B107" s="9">
        <v>4217.3901370000003</v>
      </c>
      <c r="C107" s="11">
        <f t="shared" si="54"/>
        <v>4.9114019491778638E-4</v>
      </c>
      <c r="D107" s="9">
        <f t="shared" si="36"/>
        <v>99.81799301177648</v>
      </c>
      <c r="E107" s="9">
        <f t="shared" si="37"/>
        <v>0.50803219352916007</v>
      </c>
      <c r="F107" s="9">
        <f t="shared" si="55"/>
        <v>-49.127150733909936</v>
      </c>
      <c r="G107" s="9"/>
      <c r="H107" s="10">
        <v>42118</v>
      </c>
      <c r="I107" s="9">
        <v>5092.080078</v>
      </c>
      <c r="J107" s="11">
        <f t="shared" si="56"/>
        <v>7.1241279928790481E-3</v>
      </c>
      <c r="K107" s="9">
        <f t="shared" si="38"/>
        <v>107.71531560893504</v>
      </c>
      <c r="L107" s="9">
        <f t="shared" si="39"/>
        <v>0.94583111364822914</v>
      </c>
      <c r="M107" s="9">
        <f t="shared" si="57"/>
        <v>-93.947201990067768</v>
      </c>
      <c r="N107" s="9"/>
      <c r="O107" s="10">
        <v>42305</v>
      </c>
      <c r="P107" s="9">
        <v>5095.6899409999996</v>
      </c>
      <c r="Q107" s="11">
        <f t="shared" si="58"/>
        <v>1.3029440528987147E-2</v>
      </c>
      <c r="R107" s="9">
        <f t="shared" si="40"/>
        <v>101.6318696354455</v>
      </c>
      <c r="S107" s="9">
        <f t="shared" si="41"/>
        <v>0.61920589601361087</v>
      </c>
      <c r="T107" s="9">
        <f t="shared" si="59"/>
        <v>-59.445728901352176</v>
      </c>
      <c r="U107" s="9"/>
      <c r="V107" s="10">
        <v>42495</v>
      </c>
      <c r="W107" s="9">
        <v>4717.0898440000001</v>
      </c>
      <c r="X107" s="11">
        <f t="shared" si="60"/>
        <v>-1.8093406929263682E-3</v>
      </c>
      <c r="Y107" s="9">
        <f t="shared" si="42"/>
        <v>95.614033092931123</v>
      </c>
      <c r="Z107" s="9">
        <f t="shared" si="43"/>
        <v>0.2553849956049532</v>
      </c>
      <c r="AA107" s="9">
        <f t="shared" si="61"/>
        <v>-23.453864117428449</v>
      </c>
      <c r="AB107" s="9"/>
      <c r="AC107" s="10">
        <v>42682</v>
      </c>
      <c r="AD107" s="9">
        <v>5193.4902339999999</v>
      </c>
      <c r="AE107" s="11">
        <f t="shared" si="62"/>
        <v>5.2883107626129355E-3</v>
      </c>
      <c r="AF107" s="9">
        <f t="shared" si="44"/>
        <v>107.36540848696892</v>
      </c>
      <c r="AG107" s="9">
        <f t="shared" si="45"/>
        <v>0.94314038160839042</v>
      </c>
      <c r="AH107" s="9">
        <f t="shared" si="63"/>
        <v>-93.959884420024594</v>
      </c>
      <c r="AI107" s="9"/>
      <c r="AJ107" s="10">
        <v>42872</v>
      </c>
      <c r="AK107" s="9">
        <v>6011.2402339999999</v>
      </c>
      <c r="AL107" s="11">
        <f t="shared" si="64"/>
        <v>-2.5710408807946145E-2</v>
      </c>
      <c r="AM107" s="9">
        <f t="shared" si="46"/>
        <v>110.35022671417252</v>
      </c>
      <c r="AN107" s="9">
        <f t="shared" si="47"/>
        <v>0.99865088170600791</v>
      </c>
      <c r="AO107" s="9">
        <f t="shared" si="65"/>
        <v>-99.476237948798712</v>
      </c>
      <c r="AP107" s="9"/>
      <c r="AQ107" s="10">
        <v>43059</v>
      </c>
      <c r="AR107" s="9">
        <v>6790.7099609999996</v>
      </c>
      <c r="AS107" s="11">
        <f t="shared" si="66"/>
        <v>1.1676495888064938E-3</v>
      </c>
      <c r="AT107" s="9">
        <f t="shared" si="48"/>
        <v>110.59031869579682</v>
      </c>
      <c r="AU107" s="9">
        <f t="shared" si="49"/>
        <v>0.99878277636938695</v>
      </c>
      <c r="AV107" s="9">
        <f t="shared" si="67"/>
        <v>-99.790725953988272</v>
      </c>
      <c r="AW107" s="9"/>
      <c r="AX107" s="10">
        <v>43250</v>
      </c>
      <c r="AY107" s="9">
        <v>7462.4501950000003</v>
      </c>
      <c r="AZ107" s="11">
        <f t="shared" si="68"/>
        <v>8.9041507490678524E-3</v>
      </c>
      <c r="BA107" s="9">
        <f t="shared" si="50"/>
        <v>104.5664876818211</v>
      </c>
      <c r="BB107" s="9">
        <f t="shared" si="51"/>
        <v>0.7764615309914974</v>
      </c>
      <c r="BC107" s="9">
        <f t="shared" si="69"/>
        <v>-75.780592007137798</v>
      </c>
      <c r="BD107" s="9"/>
      <c r="BE107" s="10">
        <v>43437</v>
      </c>
      <c r="BF107" s="9">
        <v>7441.5097660000001</v>
      </c>
      <c r="BG107" s="11">
        <f t="shared" si="70"/>
        <v>1.5138001621929301E-2</v>
      </c>
      <c r="BH107" s="9">
        <f t="shared" si="52"/>
        <v>95.087257889969706</v>
      </c>
      <c r="BI107" s="9">
        <f t="shared" si="53"/>
        <v>0.29627837287545872</v>
      </c>
      <c r="BJ107" s="9">
        <f t="shared" si="71"/>
        <v>-25.990973907486836</v>
      </c>
    </row>
    <row r="108" spans="1:62" x14ac:dyDescent="0.3">
      <c r="A108" s="10">
        <v>41929</v>
      </c>
      <c r="B108" s="9">
        <v>4258.4399409999996</v>
      </c>
      <c r="C108" s="11">
        <f t="shared" si="54"/>
        <v>9.7334613745741084E-3</v>
      </c>
      <c r="D108" s="9">
        <f t="shared" si="36"/>
        <v>100.78956759124411</v>
      </c>
      <c r="E108" s="9">
        <f t="shared" si="37"/>
        <v>0.59784944323351263</v>
      </c>
      <c r="F108" s="9">
        <f t="shared" si="55"/>
        <v>-58.181811459334497</v>
      </c>
      <c r="G108" s="9"/>
      <c r="H108" s="10">
        <v>42121</v>
      </c>
      <c r="I108" s="9">
        <v>5060.25</v>
      </c>
      <c r="J108" s="11">
        <f t="shared" si="56"/>
        <v>-6.2508989474693724E-3</v>
      </c>
      <c r="K108" s="9">
        <f t="shared" si="38"/>
        <v>107.04199805596882</v>
      </c>
      <c r="L108" s="9">
        <f t="shared" si="39"/>
        <v>0.93611856503091528</v>
      </c>
      <c r="M108" s="9">
        <f t="shared" si="57"/>
        <v>-92.91913462562799</v>
      </c>
      <c r="N108" s="9"/>
      <c r="O108" s="10">
        <v>42306</v>
      </c>
      <c r="P108" s="9">
        <v>5074.2700199999999</v>
      </c>
      <c r="Q108" s="11">
        <f t="shared" si="58"/>
        <v>-4.2035369592750707E-3</v>
      </c>
      <c r="R108" s="9">
        <f t="shared" si="40"/>
        <v>101.20465631519269</v>
      </c>
      <c r="S108" s="9">
        <f t="shared" si="41"/>
        <v>0.59539361792894052</v>
      </c>
      <c r="T108" s="9">
        <f t="shared" si="59"/>
        <v>-57.038258507070445</v>
      </c>
      <c r="U108" s="9"/>
      <c r="V108" s="10">
        <v>42496</v>
      </c>
      <c r="W108" s="9">
        <v>4736.1601559999999</v>
      </c>
      <c r="X108" s="11">
        <f t="shared" si="60"/>
        <v>4.0428129695805363E-3</v>
      </c>
      <c r="Y108" s="9">
        <f t="shared" si="42"/>
        <v>96.000582745993128</v>
      </c>
      <c r="Z108" s="9">
        <f t="shared" si="43"/>
        <v>0.2737386056283696</v>
      </c>
      <c r="AA108" s="9">
        <f t="shared" si="61"/>
        <v>-25.216785252404165</v>
      </c>
      <c r="AB108" s="9"/>
      <c r="AC108" s="10">
        <v>42683</v>
      </c>
      <c r="AD108" s="9">
        <v>5251.0698240000002</v>
      </c>
      <c r="AE108" s="11">
        <f t="shared" si="62"/>
        <v>1.1086877495801657E-2</v>
      </c>
      <c r="AF108" s="9">
        <f t="shared" si="44"/>
        <v>108.55575561815066</v>
      </c>
      <c r="AG108" s="9">
        <f t="shared" si="45"/>
        <v>0.96694430625400374</v>
      </c>
      <c r="AH108" s="9">
        <f t="shared" si="63"/>
        <v>-96.547798891064005</v>
      </c>
      <c r="AI108" s="9"/>
      <c r="AJ108" s="10">
        <v>42873</v>
      </c>
      <c r="AK108" s="9">
        <v>6055.1298829999996</v>
      </c>
      <c r="AL108" s="11">
        <f t="shared" si="64"/>
        <v>7.3012635149327047E-3</v>
      </c>
      <c r="AM108" s="9">
        <f t="shared" si="46"/>
        <v>111.15592279834526</v>
      </c>
      <c r="AN108" s="9">
        <f t="shared" si="47"/>
        <v>0.99942921257054518</v>
      </c>
      <c r="AO108" s="9">
        <f t="shared" si="65"/>
        <v>-99.566842182864491</v>
      </c>
      <c r="AP108" s="9"/>
      <c r="AQ108" s="10">
        <v>43060</v>
      </c>
      <c r="AR108" s="9">
        <v>6862.4799800000001</v>
      </c>
      <c r="AS108" s="11">
        <f t="shared" si="66"/>
        <v>1.0568853538464431E-2</v>
      </c>
      <c r="AT108" s="9">
        <f t="shared" si="48"/>
        <v>111.75913157686482</v>
      </c>
      <c r="AU108" s="9">
        <f t="shared" si="49"/>
        <v>0.99963314570243933</v>
      </c>
      <c r="AV108" s="9">
        <f t="shared" si="67"/>
        <v>-99.889863565175673</v>
      </c>
      <c r="AW108" s="9"/>
      <c r="AX108" s="10">
        <v>43251</v>
      </c>
      <c r="AY108" s="9">
        <v>7442.1201170000004</v>
      </c>
      <c r="AZ108" s="11">
        <f t="shared" si="68"/>
        <v>-2.7243167416543083E-3</v>
      </c>
      <c r="BA108" s="9">
        <f t="shared" si="50"/>
        <v>104.28161544881354</v>
      </c>
      <c r="BB108" s="9">
        <f t="shared" si="51"/>
        <v>0.76564429580351889</v>
      </c>
      <c r="BC108" s="9">
        <f t="shared" si="69"/>
        <v>-74.65566758194278</v>
      </c>
      <c r="BD108" s="9"/>
      <c r="BE108" s="10">
        <v>43438</v>
      </c>
      <c r="BF108" s="9">
        <v>7158.4301759999998</v>
      </c>
      <c r="BG108" s="11">
        <f t="shared" si="70"/>
        <v>-3.8040612577488121E-2</v>
      </c>
      <c r="BH108" s="9">
        <f t="shared" si="52"/>
        <v>91.470080351521673</v>
      </c>
      <c r="BI108" s="9">
        <f t="shared" si="53"/>
        <v>0.15645786039564324</v>
      </c>
      <c r="BJ108" s="9">
        <f t="shared" si="71"/>
        <v>-13.202648540330566</v>
      </c>
    </row>
    <row r="109" spans="1:62" x14ac:dyDescent="0.3">
      <c r="A109" s="10">
        <v>41932</v>
      </c>
      <c r="B109" s="9">
        <v>4316.0698240000002</v>
      </c>
      <c r="C109" s="11">
        <f t="shared" si="54"/>
        <v>1.3533097518916147E-2</v>
      </c>
      <c r="D109" s="9">
        <f t="shared" si="36"/>
        <v>102.1535626383458</v>
      </c>
      <c r="E109" s="9">
        <f t="shared" si="37"/>
        <v>0.7197755020988974</v>
      </c>
      <c r="F109" s="9">
        <f t="shared" si="55"/>
        <v>-70.644166293124727</v>
      </c>
      <c r="G109" s="9"/>
      <c r="H109" s="10">
        <v>42122</v>
      </c>
      <c r="I109" s="9">
        <v>5055.419922</v>
      </c>
      <c r="J109" s="11">
        <f t="shared" si="56"/>
        <v>-9.5451370979693839E-4</v>
      </c>
      <c r="K109" s="9">
        <f t="shared" si="38"/>
        <v>106.93982500130035</v>
      </c>
      <c r="L109" s="9">
        <f t="shared" si="39"/>
        <v>0.93564591714739365</v>
      </c>
      <c r="M109" s="9">
        <f t="shared" si="57"/>
        <v>-92.872408416715942</v>
      </c>
      <c r="N109" s="9"/>
      <c r="O109" s="10">
        <v>42307</v>
      </c>
      <c r="P109" s="9">
        <v>5053.75</v>
      </c>
      <c r="Q109" s="11">
        <f t="shared" si="58"/>
        <v>-4.0439353678699049E-3</v>
      </c>
      <c r="R109" s="9">
        <f t="shared" si="40"/>
        <v>100.79539122612655</v>
      </c>
      <c r="S109" s="9">
        <f t="shared" si="41"/>
        <v>0.5716195376673231</v>
      </c>
      <c r="T109" s="9">
        <f t="shared" si="59"/>
        <v>-54.644284872246047</v>
      </c>
      <c r="U109" s="9"/>
      <c r="V109" s="10">
        <v>42499</v>
      </c>
      <c r="W109" s="9">
        <v>4750.2099609999996</v>
      </c>
      <c r="X109" s="11">
        <f t="shared" si="60"/>
        <v>2.9664970223189494E-3</v>
      </c>
      <c r="Y109" s="9">
        <f t="shared" si="42"/>
        <v>96.285368188850001</v>
      </c>
      <c r="Z109" s="9">
        <f t="shared" si="43"/>
        <v>0.28133533337628513</v>
      </c>
      <c r="AA109" s="9">
        <f t="shared" si="61"/>
        <v>-25.951348091025967</v>
      </c>
      <c r="AB109" s="9"/>
      <c r="AC109" s="10">
        <v>42684</v>
      </c>
      <c r="AD109" s="9">
        <v>5208.7998049999997</v>
      </c>
      <c r="AE109" s="11">
        <f t="shared" si="62"/>
        <v>-8.0497918360950931E-3</v>
      </c>
      <c r="AF109" s="9">
        <f t="shared" si="44"/>
        <v>107.68190438281454</v>
      </c>
      <c r="AG109" s="9">
        <f t="shared" si="45"/>
        <v>0.95365681973236072</v>
      </c>
      <c r="AH109" s="9">
        <f t="shared" si="63"/>
        <v>-95.120944837244707</v>
      </c>
      <c r="AI109" s="9"/>
      <c r="AJ109" s="10">
        <v>42874</v>
      </c>
      <c r="AK109" s="9">
        <v>6083.7001950000003</v>
      </c>
      <c r="AL109" s="11">
        <f t="shared" si="64"/>
        <v>4.7183648496480551E-3</v>
      </c>
      <c r="AM109" s="9">
        <f t="shared" si="46"/>
        <v>111.68039699730716</v>
      </c>
      <c r="AN109" s="9">
        <f t="shared" si="47"/>
        <v>0.99970298133826563</v>
      </c>
      <c r="AO109" s="9">
        <f t="shared" si="65"/>
        <v>-99.60150865964286</v>
      </c>
      <c r="AP109" s="9"/>
      <c r="AQ109" s="10">
        <v>43061</v>
      </c>
      <c r="AR109" s="9">
        <v>6867.3598629999997</v>
      </c>
      <c r="AS109" s="11">
        <f t="shared" si="66"/>
        <v>7.1109613641446407E-4</v>
      </c>
      <c r="AT109" s="9">
        <f t="shared" si="48"/>
        <v>111.83860306353817</v>
      </c>
      <c r="AU109" s="9">
        <f t="shared" si="49"/>
        <v>0.99970422693033012</v>
      </c>
      <c r="AV109" s="9">
        <f t="shared" si="67"/>
        <v>-99.901918337645014</v>
      </c>
      <c r="AW109" s="9"/>
      <c r="AX109" s="10">
        <v>43252</v>
      </c>
      <c r="AY109" s="9">
        <v>7554.330078</v>
      </c>
      <c r="AZ109" s="11">
        <f t="shared" si="68"/>
        <v>1.5077687437976025E-2</v>
      </c>
      <c r="BA109" s="9">
        <f t="shared" si="50"/>
        <v>105.85394105207794</v>
      </c>
      <c r="BB109" s="9">
        <f t="shared" si="51"/>
        <v>0.83458345587612204</v>
      </c>
      <c r="BC109" s="9">
        <f t="shared" si="69"/>
        <v>-81.956217472624189</v>
      </c>
      <c r="BD109" s="9"/>
      <c r="BE109" s="10">
        <v>43440</v>
      </c>
      <c r="BF109" s="9">
        <v>7188.2597660000001</v>
      </c>
      <c r="BG109" s="11">
        <f t="shared" si="70"/>
        <v>4.16705747860888E-3</v>
      </c>
      <c r="BH109" s="9">
        <f t="shared" si="52"/>
        <v>91.851241433919441</v>
      </c>
      <c r="BI109" s="9">
        <f t="shared" si="53"/>
        <v>0.16240548959363429</v>
      </c>
      <c r="BJ109" s="9">
        <f t="shared" si="71"/>
        <v>-13.750030859546161</v>
      </c>
    </row>
    <row r="110" spans="1:62" x14ac:dyDescent="0.3">
      <c r="A110" s="10">
        <v>41933</v>
      </c>
      <c r="B110" s="9">
        <v>4419.4799800000001</v>
      </c>
      <c r="C110" s="11">
        <f t="shared" si="54"/>
        <v>2.395933342527869E-2</v>
      </c>
      <c r="D110" s="9">
        <f t="shared" si="36"/>
        <v>104.60109390617805</v>
      </c>
      <c r="E110" s="9">
        <f t="shared" si="37"/>
        <v>0.88028617126905107</v>
      </c>
      <c r="F110" s="9">
        <f t="shared" si="55"/>
        <v>-87.436661116506912</v>
      </c>
      <c r="G110" s="9"/>
      <c r="H110" s="10">
        <v>42123</v>
      </c>
      <c r="I110" s="9">
        <v>5023.6401370000003</v>
      </c>
      <c r="J110" s="11">
        <f t="shared" si="56"/>
        <v>-6.2862799708688017E-3</v>
      </c>
      <c r="K110" s="9">
        <f t="shared" si="38"/>
        <v>106.26757132130645</v>
      </c>
      <c r="L110" s="9">
        <f t="shared" si="39"/>
        <v>0.9189031513603928</v>
      </c>
      <c r="M110" s="9">
        <f t="shared" si="57"/>
        <v>-91.097012112074268</v>
      </c>
      <c r="N110" s="9"/>
      <c r="O110" s="10">
        <v>42310</v>
      </c>
      <c r="P110" s="9">
        <v>5127.1499020000001</v>
      </c>
      <c r="Q110" s="11">
        <f t="shared" si="58"/>
        <v>1.4523849023002742E-2</v>
      </c>
      <c r="R110" s="9">
        <f t="shared" si="40"/>
        <v>102.25932827050931</v>
      </c>
      <c r="S110" s="9">
        <f t="shared" si="41"/>
        <v>0.66051234331054265</v>
      </c>
      <c r="T110" s="9">
        <f t="shared" si="59"/>
        <v>-63.741140847340233</v>
      </c>
      <c r="U110" s="9"/>
      <c r="V110" s="10">
        <v>42500</v>
      </c>
      <c r="W110" s="9">
        <v>4809.8798829999996</v>
      </c>
      <c r="X110" s="11">
        <f t="shared" si="60"/>
        <v>1.2561533593230586E-2</v>
      </c>
      <c r="Y110" s="9">
        <f t="shared" si="42"/>
        <v>97.494860075890813</v>
      </c>
      <c r="Z110" s="9">
        <f t="shared" si="43"/>
        <v>0.35361320015687753</v>
      </c>
      <c r="AA110" s="9">
        <f t="shared" si="61"/>
        <v>-32.999135115055417</v>
      </c>
      <c r="AB110" s="9"/>
      <c r="AC110" s="10">
        <v>42685</v>
      </c>
      <c r="AD110" s="9">
        <v>5237.1098629999997</v>
      </c>
      <c r="AE110" s="11">
        <f t="shared" si="62"/>
        <v>5.4350443595134537E-3</v>
      </c>
      <c r="AF110" s="9">
        <f t="shared" si="44"/>
        <v>108.26716030985202</v>
      </c>
      <c r="AG110" s="9">
        <f t="shared" si="45"/>
        <v>0.96570010618367474</v>
      </c>
      <c r="AH110" s="9">
        <f t="shared" si="63"/>
        <v>-96.428746422376051</v>
      </c>
      <c r="AI110" s="9"/>
      <c r="AJ110" s="10">
        <v>42877</v>
      </c>
      <c r="AK110" s="9">
        <v>6133.6201170000004</v>
      </c>
      <c r="AL110" s="11">
        <f t="shared" si="64"/>
        <v>8.205519733044642E-3</v>
      </c>
      <c r="AM110" s="9">
        <f t="shared" si="46"/>
        <v>112.59679269866282</v>
      </c>
      <c r="AN110" s="9">
        <f t="shared" si="47"/>
        <v>0.99993350294353567</v>
      </c>
      <c r="AO110" s="9">
        <f t="shared" si="65"/>
        <v>-99.639745048093047</v>
      </c>
      <c r="AP110" s="9"/>
      <c r="AQ110" s="10">
        <v>43063</v>
      </c>
      <c r="AR110" s="9">
        <v>6889.1601559999999</v>
      </c>
      <c r="AS110" s="11">
        <f t="shared" si="66"/>
        <v>3.1744794848244345E-3</v>
      </c>
      <c r="AT110" s="9">
        <f t="shared" si="48"/>
        <v>112.19363241457478</v>
      </c>
      <c r="AU110" s="9">
        <f t="shared" si="49"/>
        <v>0.99984841145627867</v>
      </c>
      <c r="AV110" s="9">
        <f t="shared" si="67"/>
        <v>-99.926306377377259</v>
      </c>
      <c r="AW110" s="9"/>
      <c r="AX110" s="10">
        <v>43255</v>
      </c>
      <c r="AY110" s="9">
        <v>7606.4599609999996</v>
      </c>
      <c r="AZ110" s="11">
        <f t="shared" si="68"/>
        <v>6.9006625950611012E-3</v>
      </c>
      <c r="BA110" s="9">
        <f t="shared" si="50"/>
        <v>106.58440338363584</v>
      </c>
      <c r="BB110" s="9">
        <f t="shared" si="51"/>
        <v>0.86874244320399452</v>
      </c>
      <c r="BC110" s="9">
        <f t="shared" si="69"/>
        <v>-85.607137571236606</v>
      </c>
      <c r="BD110" s="9"/>
      <c r="BE110" s="10">
        <v>43441</v>
      </c>
      <c r="BF110" s="9">
        <v>6969.25</v>
      </c>
      <c r="BG110" s="11">
        <f t="shared" si="70"/>
        <v>-3.0467703328683534E-2</v>
      </c>
      <c r="BH110" s="9">
        <f t="shared" si="52"/>
        <v>89.05274505953949</v>
      </c>
      <c r="BI110" s="9">
        <f t="shared" si="53"/>
        <v>8.3240246696945311E-2</v>
      </c>
      <c r="BJ110" s="9">
        <f t="shared" si="71"/>
        <v>-6.7007137476633289</v>
      </c>
    </row>
    <row r="111" spans="1:62" x14ac:dyDescent="0.3">
      <c r="A111" s="10">
        <v>41934</v>
      </c>
      <c r="B111" s="9">
        <v>4382.8500979999999</v>
      </c>
      <c r="C111" s="11">
        <f t="shared" si="54"/>
        <v>-8.2882787490305993E-3</v>
      </c>
      <c r="D111" s="9">
        <f t="shared" si="36"/>
        <v>103.73413088243011</v>
      </c>
      <c r="E111" s="9">
        <f t="shared" si="37"/>
        <v>0.83672983964110736</v>
      </c>
      <c r="F111" s="9">
        <f t="shared" si="55"/>
        <v>-82.921976271934085</v>
      </c>
      <c r="G111" s="9"/>
      <c r="H111" s="10">
        <v>42124</v>
      </c>
      <c r="I111" s="9">
        <v>4941.419922</v>
      </c>
      <c r="J111" s="11">
        <f t="shared" si="56"/>
        <v>-1.6366660978447446E-2</v>
      </c>
      <c r="K111" s="9">
        <f t="shared" si="38"/>
        <v>104.52832600848765</v>
      </c>
      <c r="L111" s="9">
        <f t="shared" si="39"/>
        <v>0.85221447429620456</v>
      </c>
      <c r="M111" s="9">
        <f t="shared" si="57"/>
        <v>-84.129900124587223</v>
      </c>
      <c r="N111" s="9"/>
      <c r="O111" s="10">
        <v>42311</v>
      </c>
      <c r="P111" s="9">
        <v>5145.1298829999996</v>
      </c>
      <c r="Q111" s="11">
        <f t="shared" si="58"/>
        <v>3.5068178897960174E-3</v>
      </c>
      <c r="R111" s="9">
        <f t="shared" si="40"/>
        <v>102.61793311228686</v>
      </c>
      <c r="S111" s="9">
        <f t="shared" si="41"/>
        <v>0.68250158206079881</v>
      </c>
      <c r="T111" s="9">
        <f t="shared" si="59"/>
        <v>-66.000250631369113</v>
      </c>
      <c r="U111" s="9"/>
      <c r="V111" s="10">
        <v>42501</v>
      </c>
      <c r="W111" s="9">
        <v>4760.6899409999996</v>
      </c>
      <c r="X111" s="11">
        <f t="shared" si="60"/>
        <v>-1.0226854556983118E-2</v>
      </c>
      <c r="Y111" s="9">
        <f t="shared" si="42"/>
        <v>96.497794321841241</v>
      </c>
      <c r="Z111" s="9">
        <f t="shared" si="43"/>
        <v>0.2879734453454732</v>
      </c>
      <c r="AA111" s="9">
        <f t="shared" si="61"/>
        <v>-26.666399712634821</v>
      </c>
      <c r="AB111" s="9"/>
      <c r="AC111" s="10">
        <v>42688</v>
      </c>
      <c r="AD111" s="9">
        <v>5218.3999020000001</v>
      </c>
      <c r="AE111" s="11">
        <f t="shared" si="62"/>
        <v>-3.5725737075299477E-3</v>
      </c>
      <c r="AF111" s="9">
        <f t="shared" si="44"/>
        <v>107.88036789954009</v>
      </c>
      <c r="AG111" s="9">
        <f t="shared" si="45"/>
        <v>0.96456301572741421</v>
      </c>
      <c r="AH111" s="9">
        <f t="shared" si="63"/>
        <v>-96.317965894087294</v>
      </c>
      <c r="AI111" s="9"/>
      <c r="AJ111" s="10">
        <v>42878</v>
      </c>
      <c r="AK111" s="9">
        <v>6138.7099609999996</v>
      </c>
      <c r="AL111" s="11">
        <f t="shared" si="64"/>
        <v>8.2982706833964405E-4</v>
      </c>
      <c r="AM111" s="9">
        <f t="shared" si="46"/>
        <v>112.69022856505239</v>
      </c>
      <c r="AN111" s="9">
        <f t="shared" si="47"/>
        <v>0.99995130536537591</v>
      </c>
      <c r="AO111" s="9">
        <f t="shared" si="65"/>
        <v>-99.645846075262853</v>
      </c>
      <c r="AP111" s="9"/>
      <c r="AQ111" s="10">
        <v>43066</v>
      </c>
      <c r="AR111" s="9">
        <v>6878.5200199999999</v>
      </c>
      <c r="AS111" s="11">
        <f t="shared" si="66"/>
        <v>-1.5444750534262342E-3</v>
      </c>
      <c r="AT111" s="9">
        <f t="shared" si="48"/>
        <v>112.0203521481572</v>
      </c>
      <c r="AU111" s="9">
        <f t="shared" si="49"/>
        <v>0.99989127234661057</v>
      </c>
      <c r="AV111" s="9">
        <f t="shared" si="67"/>
        <v>-99.943428110477441</v>
      </c>
      <c r="AW111" s="9"/>
      <c r="AX111" s="10">
        <v>43256</v>
      </c>
      <c r="AY111" s="9">
        <v>7637.8598629999997</v>
      </c>
      <c r="AZ111" s="11">
        <f t="shared" si="68"/>
        <v>4.128057225173648E-3</v>
      </c>
      <c r="BA111" s="9">
        <f t="shared" si="50"/>
        <v>107.02438990011447</v>
      </c>
      <c r="BB111" s="9">
        <f t="shared" si="51"/>
        <v>0.88564770761779066</v>
      </c>
      <c r="BC111" s="9">
        <f t="shared" si="69"/>
        <v>-87.419931355058011</v>
      </c>
      <c r="BD111" s="9"/>
      <c r="BE111" s="10">
        <v>43444</v>
      </c>
      <c r="BF111" s="9">
        <v>7020.5200199999999</v>
      </c>
      <c r="BG111" s="11">
        <f t="shared" si="70"/>
        <v>7.3566050866305461E-3</v>
      </c>
      <c r="BH111" s="9">
        <f t="shared" si="52"/>
        <v>89.707870936822914</v>
      </c>
      <c r="BI111" s="9">
        <f t="shared" si="53"/>
        <v>8.8997363450785641E-2</v>
      </c>
      <c r="BJ111" s="9">
        <f t="shared" si="71"/>
        <v>-7.2179986007056209</v>
      </c>
    </row>
    <row r="112" spans="1:62" x14ac:dyDescent="0.3">
      <c r="A112" s="10">
        <v>41935</v>
      </c>
      <c r="B112" s="9">
        <v>4452.7900390000004</v>
      </c>
      <c r="C112" s="11">
        <f t="shared" si="54"/>
        <v>1.5957639306878376E-2</v>
      </c>
      <c r="D112" s="9">
        <f t="shared" si="36"/>
        <v>105.38948272686443</v>
      </c>
      <c r="E112" s="9">
        <f t="shared" si="37"/>
        <v>0.91881073939830138</v>
      </c>
      <c r="F112" s="9">
        <f t="shared" si="55"/>
        <v>-91.575847661573164</v>
      </c>
      <c r="G112" s="9"/>
      <c r="H112" s="10">
        <v>42125</v>
      </c>
      <c r="I112" s="9">
        <v>5005.3901370000003</v>
      </c>
      <c r="J112" s="11">
        <f t="shared" si="56"/>
        <v>1.2945715201251071E-2</v>
      </c>
      <c r="K112" s="9">
        <f t="shared" si="38"/>
        <v>105.88151994745705</v>
      </c>
      <c r="L112" s="9">
        <f t="shared" si="39"/>
        <v>0.91129682384970689</v>
      </c>
      <c r="M112" s="9">
        <f t="shared" si="57"/>
        <v>-90.389086561578111</v>
      </c>
      <c r="N112" s="9"/>
      <c r="O112" s="10">
        <v>42312</v>
      </c>
      <c r="P112" s="9">
        <v>5142.4799800000001</v>
      </c>
      <c r="Q112" s="11">
        <f t="shared" si="58"/>
        <v>-5.1503131315597543E-4</v>
      </c>
      <c r="R112" s="9">
        <f t="shared" si="40"/>
        <v>102.5650816634427</v>
      </c>
      <c r="S112" s="9">
        <f t="shared" si="41"/>
        <v>0.68127279100260862</v>
      </c>
      <c r="T112" s="9">
        <f t="shared" si="59"/>
        <v>-65.876931970939324</v>
      </c>
      <c r="U112" s="9"/>
      <c r="V112" s="10">
        <v>42502</v>
      </c>
      <c r="W112" s="9">
        <v>4737.330078</v>
      </c>
      <c r="X112" s="11">
        <f t="shared" si="60"/>
        <v>-4.906823021348216E-3</v>
      </c>
      <c r="Y112" s="9">
        <f t="shared" si="42"/>
        <v>96.024296723153512</v>
      </c>
      <c r="Z112" s="9">
        <f t="shared" si="43"/>
        <v>0.25639360491017232</v>
      </c>
      <c r="AA112" s="9">
        <f t="shared" si="61"/>
        <v>-23.635063646164269</v>
      </c>
      <c r="AB112" s="9"/>
      <c r="AC112" s="10">
        <v>42689</v>
      </c>
      <c r="AD112" s="9">
        <v>5275.6201170000004</v>
      </c>
      <c r="AE112" s="11">
        <f t="shared" si="62"/>
        <v>1.0965088163915936E-2</v>
      </c>
      <c r="AF112" s="9">
        <f t="shared" si="44"/>
        <v>109.06328564471426</v>
      </c>
      <c r="AG112" s="9">
        <f t="shared" si="45"/>
        <v>0.9814492898464291</v>
      </c>
      <c r="AH112" s="9">
        <f t="shared" si="63"/>
        <v>-98.163596785710808</v>
      </c>
      <c r="AI112" s="9"/>
      <c r="AJ112" s="10">
        <v>42879</v>
      </c>
      <c r="AK112" s="9">
        <v>6163.0200199999999</v>
      </c>
      <c r="AL112" s="11">
        <f t="shared" si="64"/>
        <v>3.9601250351369004E-3</v>
      </c>
      <c r="AM112" s="9">
        <f t="shared" si="46"/>
        <v>113.13649596040818</v>
      </c>
      <c r="AN112" s="9">
        <f t="shared" si="47"/>
        <v>0.99997724207884564</v>
      </c>
      <c r="AO112" s="9">
        <f t="shared" si="65"/>
        <v>-99.652875583057465</v>
      </c>
      <c r="AP112" s="9"/>
      <c r="AQ112" s="10">
        <v>43067</v>
      </c>
      <c r="AR112" s="9">
        <v>6912.3598629999997</v>
      </c>
      <c r="AS112" s="11">
        <f t="shared" si="66"/>
        <v>4.9196401117692391E-3</v>
      </c>
      <c r="AT112" s="9">
        <f t="shared" si="48"/>
        <v>112.57145196591981</v>
      </c>
      <c r="AU112" s="9">
        <f t="shared" si="49"/>
        <v>0.99995285969896952</v>
      </c>
      <c r="AV112" s="9">
        <f t="shared" si="67"/>
        <v>-99.954468436721129</v>
      </c>
      <c r="AW112" s="9"/>
      <c r="AX112" s="10">
        <v>43257</v>
      </c>
      <c r="AY112" s="9">
        <v>7689.2402339999999</v>
      </c>
      <c r="AZ112" s="11">
        <f t="shared" si="68"/>
        <v>6.7270638531745728E-3</v>
      </c>
      <c r="BA112" s="9">
        <f t="shared" si="50"/>
        <v>107.74434980481959</v>
      </c>
      <c r="BB112" s="9">
        <f t="shared" si="51"/>
        <v>0.90886123445508005</v>
      </c>
      <c r="BC112" s="9">
        <f t="shared" si="69"/>
        <v>-89.924650384558731</v>
      </c>
      <c r="BD112" s="9"/>
      <c r="BE112" s="10">
        <v>43445</v>
      </c>
      <c r="BF112" s="9">
        <v>7031.830078</v>
      </c>
      <c r="BG112" s="11">
        <f t="shared" si="70"/>
        <v>1.6110000352936855E-3</v>
      </c>
      <c r="BH112" s="9">
        <f t="shared" si="52"/>
        <v>89.852390320068253</v>
      </c>
      <c r="BI112" s="9">
        <f t="shared" si="53"/>
        <v>8.9233459512425839E-2</v>
      </c>
      <c r="BJ112" s="9">
        <f t="shared" si="71"/>
        <v>-7.2395090323638494</v>
      </c>
    </row>
    <row r="113" spans="1:62" x14ac:dyDescent="0.3">
      <c r="A113" s="10">
        <v>41936</v>
      </c>
      <c r="B113" s="9">
        <v>4483.7202150000003</v>
      </c>
      <c r="C113" s="11">
        <f t="shared" si="54"/>
        <v>6.9462462251972902E-3</v>
      </c>
      <c r="D113" s="9">
        <f t="shared" si="36"/>
        <v>106.12154402343141</v>
      </c>
      <c r="E113" s="9">
        <f t="shared" si="37"/>
        <v>0.94458806069554924</v>
      </c>
      <c r="F113" s="9">
        <f t="shared" si="55"/>
        <v>-94.315140266755975</v>
      </c>
      <c r="G113" s="9"/>
      <c r="H113" s="10">
        <v>42128</v>
      </c>
      <c r="I113" s="9">
        <v>5016.9301759999998</v>
      </c>
      <c r="J113" s="11">
        <f t="shared" si="56"/>
        <v>2.305522383698964E-3</v>
      </c>
      <c r="K113" s="9">
        <f t="shared" si="38"/>
        <v>106.12563216171597</v>
      </c>
      <c r="L113" s="9">
        <f t="shared" si="39"/>
        <v>0.92715117303333294</v>
      </c>
      <c r="M113" s="9">
        <f t="shared" si="57"/>
        <v>-92.082783938168561</v>
      </c>
      <c r="N113" s="9"/>
      <c r="O113" s="10">
        <v>42313</v>
      </c>
      <c r="P113" s="9">
        <v>5127.7402339999999</v>
      </c>
      <c r="Q113" s="11">
        <f t="shared" si="58"/>
        <v>-2.8662719266434938E-3</v>
      </c>
      <c r="R113" s="9">
        <f t="shared" si="40"/>
        <v>102.27110224921687</v>
      </c>
      <c r="S113" s="9">
        <f t="shared" si="41"/>
        <v>0.66586683462192386</v>
      </c>
      <c r="T113" s="9">
        <f t="shared" si="59"/>
        <v>-64.304055157489842</v>
      </c>
      <c r="U113" s="9"/>
      <c r="V113" s="10">
        <v>42503</v>
      </c>
      <c r="W113" s="9">
        <v>4717.6801759999998</v>
      </c>
      <c r="X113" s="11">
        <f t="shared" si="60"/>
        <v>-4.1478853439521953E-3</v>
      </c>
      <c r="Y113" s="9">
        <f t="shared" si="42"/>
        <v>95.625998950112233</v>
      </c>
      <c r="Z113" s="9">
        <f t="shared" si="43"/>
        <v>0.22995631225589969</v>
      </c>
      <c r="AA113" s="9">
        <f t="shared" si="61"/>
        <v>-21.107942450507018</v>
      </c>
      <c r="AB113" s="9"/>
      <c r="AC113" s="10">
        <v>42690</v>
      </c>
      <c r="AD113" s="9">
        <v>5294.580078</v>
      </c>
      <c r="AE113" s="11">
        <f t="shared" si="62"/>
        <v>3.5938829141437907E-3</v>
      </c>
      <c r="AF113" s="9">
        <f t="shared" si="44"/>
        <v>109.45524632355317</v>
      </c>
      <c r="AG113" s="9">
        <f t="shared" si="45"/>
        <v>0.9860153042853802</v>
      </c>
      <c r="AH113" s="9">
        <f t="shared" si="63"/>
        <v>-98.667405224152958</v>
      </c>
      <c r="AI113" s="9"/>
      <c r="AJ113" s="10">
        <v>42880</v>
      </c>
      <c r="AK113" s="9">
        <v>6205.2597660000001</v>
      </c>
      <c r="AL113" s="11">
        <f t="shared" si="64"/>
        <v>6.8537414876027282E-3</v>
      </c>
      <c r="AM113" s="9">
        <f t="shared" si="46"/>
        <v>113.91190425653402</v>
      </c>
      <c r="AN113" s="9">
        <f t="shared" si="47"/>
        <v>0.99999346336645811</v>
      </c>
      <c r="AO113" s="9">
        <f t="shared" si="65"/>
        <v>-99.658818788624615</v>
      </c>
      <c r="AP113" s="9"/>
      <c r="AQ113" s="10">
        <v>43068</v>
      </c>
      <c r="AR113" s="9">
        <v>6824.3901370000003</v>
      </c>
      <c r="AS113" s="11">
        <f t="shared" si="66"/>
        <v>-1.2726438979382079E-2</v>
      </c>
      <c r="AT113" s="9">
        <f t="shared" si="48"/>
        <v>111.13881825165508</v>
      </c>
      <c r="AU113" s="9">
        <f t="shared" si="49"/>
        <v>0.99979678177588027</v>
      </c>
      <c r="AV113" s="9">
        <f t="shared" si="67"/>
        <v>-99.941229923081082</v>
      </c>
      <c r="AW113" s="9"/>
      <c r="AX113" s="10">
        <v>43258</v>
      </c>
      <c r="AY113" s="9">
        <v>7635.0698240000002</v>
      </c>
      <c r="AZ113" s="11">
        <f t="shared" si="68"/>
        <v>-7.0449626167837743E-3</v>
      </c>
      <c r="BA113" s="9">
        <f t="shared" si="50"/>
        <v>106.98529488827498</v>
      </c>
      <c r="BB113" s="9">
        <f t="shared" si="51"/>
        <v>0.89031202063066228</v>
      </c>
      <c r="BC113" s="9">
        <f t="shared" si="69"/>
        <v>-87.943852883121821</v>
      </c>
      <c r="BD113" s="9"/>
      <c r="BE113" s="10">
        <v>43446</v>
      </c>
      <c r="BF113" s="9">
        <v>7098.3100590000004</v>
      </c>
      <c r="BG113" s="11">
        <f t="shared" si="70"/>
        <v>9.4541506638494751E-3</v>
      </c>
      <c r="BH113" s="9">
        <f t="shared" si="52"/>
        <v>90.70186835566119</v>
      </c>
      <c r="BI113" s="9">
        <f t="shared" si="53"/>
        <v>0.10739344438755211</v>
      </c>
      <c r="BJ113" s="9">
        <f t="shared" si="71"/>
        <v>-8.8869511100315588</v>
      </c>
    </row>
    <row r="114" spans="1:62" x14ac:dyDescent="0.3">
      <c r="A114" s="10">
        <v>41939</v>
      </c>
      <c r="B114" s="9">
        <v>4485.9301759999998</v>
      </c>
      <c r="C114" s="11">
        <f t="shared" si="54"/>
        <v>4.9288557136243304E-4</v>
      </c>
      <c r="D114" s="9">
        <f t="shared" si="36"/>
        <v>106.17384980129128</v>
      </c>
      <c r="E114" s="9">
        <f t="shared" si="37"/>
        <v>0.95311519367265163</v>
      </c>
      <c r="F114" s="9">
        <f t="shared" si="55"/>
        <v>-95.232127413525419</v>
      </c>
      <c r="G114" s="9"/>
      <c r="H114" s="10">
        <v>42129</v>
      </c>
      <c r="I114" s="9">
        <v>4939.330078</v>
      </c>
      <c r="J114" s="11">
        <f t="shared" si="56"/>
        <v>-1.5467645607511817E-2</v>
      </c>
      <c r="K114" s="9">
        <f t="shared" si="38"/>
        <v>104.4841184935654</v>
      </c>
      <c r="L114" s="9">
        <f t="shared" si="39"/>
        <v>0.86480391188707428</v>
      </c>
      <c r="M114" s="9">
        <f t="shared" si="57"/>
        <v>-85.572269618570147</v>
      </c>
      <c r="N114" s="9"/>
      <c r="O114" s="10">
        <v>42314</v>
      </c>
      <c r="P114" s="9">
        <v>5147.1201170000004</v>
      </c>
      <c r="Q114" s="11">
        <f t="shared" si="58"/>
        <v>3.7794198059215725E-3</v>
      </c>
      <c r="R114" s="9">
        <f t="shared" si="40"/>
        <v>102.65762767863097</v>
      </c>
      <c r="S114" s="9">
        <f t="shared" si="41"/>
        <v>0.69042562206266567</v>
      </c>
      <c r="T114" s="9">
        <f t="shared" si="59"/>
        <v>-66.827844701525279</v>
      </c>
      <c r="U114" s="9"/>
      <c r="V114" s="10">
        <v>42506</v>
      </c>
      <c r="W114" s="9">
        <v>4775.4599609999996</v>
      </c>
      <c r="X114" s="11">
        <f t="shared" si="60"/>
        <v>1.2247499373514064E-2</v>
      </c>
      <c r="Y114" s="9">
        <f t="shared" si="42"/>
        <v>96.797178312345395</v>
      </c>
      <c r="Z114" s="9">
        <f t="shared" si="43"/>
        <v>0.29046339803650417</v>
      </c>
      <c r="AA114" s="9">
        <f t="shared" si="61"/>
        <v>-26.967460131467185</v>
      </c>
      <c r="AB114" s="9"/>
      <c r="AC114" s="10">
        <v>42691</v>
      </c>
      <c r="AD114" s="9">
        <v>5333.9702150000003</v>
      </c>
      <c r="AE114" s="11">
        <f t="shared" si="62"/>
        <v>7.4397093668814133E-3</v>
      </c>
      <c r="AF114" s="9">
        <f t="shared" si="44"/>
        <v>110.26956154488083</v>
      </c>
      <c r="AG114" s="9">
        <f t="shared" si="45"/>
        <v>0.9919478784319461</v>
      </c>
      <c r="AH114" s="9">
        <f t="shared" si="63"/>
        <v>-99.325642482318955</v>
      </c>
      <c r="AI114" s="9"/>
      <c r="AJ114" s="10">
        <v>42881</v>
      </c>
      <c r="AK114" s="9">
        <v>6210.1899409999996</v>
      </c>
      <c r="AL114" s="11">
        <f t="shared" si="64"/>
        <v>7.9451548942608894E-4</v>
      </c>
      <c r="AM114" s="9">
        <f t="shared" si="46"/>
        <v>114.00240902889584</v>
      </c>
      <c r="AN114" s="9">
        <f t="shared" si="47"/>
        <v>0.99999565167524707</v>
      </c>
      <c r="AO114" s="9">
        <f t="shared" si="65"/>
        <v>-99.663163913150328</v>
      </c>
      <c r="AP114" s="9"/>
      <c r="AQ114" s="10">
        <v>43069</v>
      </c>
      <c r="AR114" s="9">
        <v>6873.9702150000003</v>
      </c>
      <c r="AS114" s="11">
        <f t="shared" si="66"/>
        <v>7.2651294847857779E-3</v>
      </c>
      <c r="AT114" s="9">
        <f t="shared" si="48"/>
        <v>111.94625615703941</v>
      </c>
      <c r="AU114" s="9">
        <f t="shared" si="49"/>
        <v>0.99993476959387906</v>
      </c>
      <c r="AV114" s="9">
        <f t="shared" si="67"/>
        <v>-99.960784400928901</v>
      </c>
      <c r="AW114" s="9"/>
      <c r="AX114" s="10">
        <v>43259</v>
      </c>
      <c r="AY114" s="9">
        <v>7645.5097660000001</v>
      </c>
      <c r="AZ114" s="11">
        <f t="shared" si="68"/>
        <v>1.3673669318888437E-3</v>
      </c>
      <c r="BA114" s="9">
        <f t="shared" si="50"/>
        <v>107.13158304270355</v>
      </c>
      <c r="BB114" s="9">
        <f t="shared" si="51"/>
        <v>0.89772154685928296</v>
      </c>
      <c r="BC114" s="9">
        <f t="shared" si="69"/>
        <v>-88.741261362794759</v>
      </c>
      <c r="BD114" s="9"/>
      <c r="BE114" s="10">
        <v>43447</v>
      </c>
      <c r="BF114" s="9">
        <v>7070.330078</v>
      </c>
      <c r="BG114" s="11">
        <f t="shared" si="70"/>
        <v>-3.9417806164333971E-3</v>
      </c>
      <c r="BH114" s="9">
        <f t="shared" si="52"/>
        <v>90.344341489102547</v>
      </c>
      <c r="BI114" s="9">
        <f t="shared" si="53"/>
        <v>9.459374239335544E-2</v>
      </c>
      <c r="BJ114" s="9">
        <f t="shared" si="71"/>
        <v>-7.730935686782578</v>
      </c>
    </row>
    <row r="115" spans="1:62" x14ac:dyDescent="0.3">
      <c r="A115" s="10">
        <v>41940</v>
      </c>
      <c r="B115" s="9">
        <v>4564.2900390000004</v>
      </c>
      <c r="C115" s="11">
        <f t="shared" si="54"/>
        <v>1.7467918564410708E-2</v>
      </c>
      <c r="D115" s="9">
        <f t="shared" si="36"/>
        <v>108.02848596329019</v>
      </c>
      <c r="E115" s="9">
        <f t="shared" si="37"/>
        <v>0.98526841686861666</v>
      </c>
      <c r="F115" s="9">
        <f t="shared" si="55"/>
        <v>-98.70950516371559</v>
      </c>
      <c r="G115" s="9"/>
      <c r="H115" s="10">
        <v>42130</v>
      </c>
      <c r="I115" s="9">
        <v>4919.6401370000003</v>
      </c>
      <c r="J115" s="11">
        <f t="shared" si="56"/>
        <v>-3.9863586132256124E-3</v>
      </c>
      <c r="K115" s="9">
        <f t="shared" si="38"/>
        <v>104.06760732786329</v>
      </c>
      <c r="L115" s="9">
        <f t="shared" si="39"/>
        <v>0.84619773466065373</v>
      </c>
      <c r="M115" s="9">
        <f t="shared" si="57"/>
        <v>-83.639486013974135</v>
      </c>
      <c r="N115" s="9"/>
      <c r="O115" s="10">
        <v>42317</v>
      </c>
      <c r="P115" s="9">
        <v>5095.2998049999997</v>
      </c>
      <c r="Q115" s="11">
        <f t="shared" si="58"/>
        <v>-1.0067826439264101E-2</v>
      </c>
      <c r="R115" s="9">
        <f t="shared" si="40"/>
        <v>101.62408850049593</v>
      </c>
      <c r="S115" s="9">
        <f t="shared" si="41"/>
        <v>0.63168025459101806</v>
      </c>
      <c r="T115" s="9">
        <f t="shared" si="59"/>
        <v>-60.866139835846653</v>
      </c>
      <c r="U115" s="9"/>
      <c r="V115" s="10">
        <v>42507</v>
      </c>
      <c r="W115" s="9">
        <v>4715.7299800000001</v>
      </c>
      <c r="X115" s="11">
        <f t="shared" si="60"/>
        <v>-1.2507691717195721E-2</v>
      </c>
      <c r="Y115" s="9">
        <f t="shared" si="42"/>
        <v>95.586469046920143</v>
      </c>
      <c r="Z115" s="9">
        <f t="shared" si="43"/>
        <v>0.21199171100947478</v>
      </c>
      <c r="AA115" s="9">
        <f t="shared" si="61"/>
        <v>-19.467736922957265</v>
      </c>
      <c r="AB115" s="9"/>
      <c r="AC115" s="10">
        <v>42692</v>
      </c>
      <c r="AD115" s="9">
        <v>5321.5097660000001</v>
      </c>
      <c r="AE115" s="11">
        <f t="shared" si="62"/>
        <v>-2.3360552267351108E-3</v>
      </c>
      <c r="AF115" s="9">
        <f t="shared" si="44"/>
        <v>110.01196575928411</v>
      </c>
      <c r="AG115" s="9">
        <f t="shared" si="45"/>
        <v>0.99143699741428426</v>
      </c>
      <c r="AH115" s="9">
        <f t="shared" si="63"/>
        <v>-99.273521416890617</v>
      </c>
      <c r="AI115" s="9"/>
      <c r="AJ115" s="10">
        <v>42885</v>
      </c>
      <c r="AK115" s="9">
        <v>6203.1899409999996</v>
      </c>
      <c r="AL115" s="11">
        <f t="shared" si="64"/>
        <v>-1.1271796944221678E-3</v>
      </c>
      <c r="AM115" s="9">
        <f t="shared" si="46"/>
        <v>113.87390782832327</v>
      </c>
      <c r="AN115" s="9">
        <f t="shared" si="47"/>
        <v>0.99999861094662412</v>
      </c>
      <c r="AO115" s="9">
        <f t="shared" si="65"/>
        <v>-99.67988522941566</v>
      </c>
      <c r="AP115" s="9"/>
      <c r="AQ115" s="10">
        <v>43070</v>
      </c>
      <c r="AR115" s="9">
        <v>6847.5898440000001</v>
      </c>
      <c r="AS115" s="11">
        <f t="shared" si="66"/>
        <v>-3.8377197129010536E-3</v>
      </c>
      <c r="AT115" s="9">
        <f t="shared" si="48"/>
        <v>111.51663780300008</v>
      </c>
      <c r="AU115" s="9">
        <f t="shared" si="49"/>
        <v>0.99991141928317928</v>
      </c>
      <c r="AV115" s="9">
        <f t="shared" si="67"/>
        <v>-99.962288514640775</v>
      </c>
      <c r="AW115" s="9"/>
      <c r="AX115" s="10">
        <v>43262</v>
      </c>
      <c r="AY115" s="9">
        <v>7659.9301759999998</v>
      </c>
      <c r="AZ115" s="11">
        <f t="shared" si="68"/>
        <v>1.886127994254624E-3</v>
      </c>
      <c r="BA115" s="9">
        <f t="shared" si="50"/>
        <v>107.33364692054923</v>
      </c>
      <c r="BB115" s="9">
        <f t="shared" si="51"/>
        <v>0.91285925936556322</v>
      </c>
      <c r="BC115" s="9">
        <f t="shared" si="69"/>
        <v>-90.376988630038966</v>
      </c>
      <c r="BD115" s="9"/>
      <c r="BE115" s="10">
        <v>43448</v>
      </c>
      <c r="BF115" s="9">
        <v>6910.6601559999999</v>
      </c>
      <c r="BG115" s="11">
        <f t="shared" si="70"/>
        <v>-2.2583093043538106E-2</v>
      </c>
      <c r="BH115" s="9">
        <f t="shared" si="52"/>
        <v>88.30408681929697</v>
      </c>
      <c r="BI115" s="9">
        <f t="shared" si="53"/>
        <v>4.9845673054693014E-2</v>
      </c>
      <c r="BJ115" s="9">
        <f t="shared" si="71"/>
        <v>-3.7798160031195382</v>
      </c>
    </row>
    <row r="116" spans="1:62" x14ac:dyDescent="0.3">
      <c r="A116" s="10">
        <v>41941</v>
      </c>
      <c r="B116" s="9">
        <v>4549.2299800000001</v>
      </c>
      <c r="C116" s="11">
        <f t="shared" si="54"/>
        <v>-3.299540316526402E-3</v>
      </c>
      <c r="D116" s="9">
        <f t="shared" si="36"/>
        <v>107.67204161852102</v>
      </c>
      <c r="E116" s="9">
        <f t="shared" si="37"/>
        <v>0.98295787923740763</v>
      </c>
      <c r="F116" s="9">
        <f t="shared" si="55"/>
        <v>-98.464781498088627</v>
      </c>
      <c r="G116" s="9"/>
      <c r="H116" s="10">
        <v>42131</v>
      </c>
      <c r="I116" s="9">
        <v>4945.5400390000004</v>
      </c>
      <c r="J116" s="11">
        <f t="shared" si="56"/>
        <v>5.2645927910885543E-3</v>
      </c>
      <c r="K116" s="9">
        <f t="shared" si="38"/>
        <v>104.6154809031874</v>
      </c>
      <c r="L116" s="9">
        <f t="shared" si="39"/>
        <v>0.87773238753367222</v>
      </c>
      <c r="M116" s="9">
        <f t="shared" si="57"/>
        <v>-86.941936199180475</v>
      </c>
      <c r="N116" s="9"/>
      <c r="O116" s="10">
        <v>42318</v>
      </c>
      <c r="P116" s="9">
        <v>5083.2402339999999</v>
      </c>
      <c r="Q116" s="11">
        <f t="shared" si="58"/>
        <v>-2.3668030266179359E-3</v>
      </c>
      <c r="R116" s="9">
        <f t="shared" si="40"/>
        <v>101.38356430025568</v>
      </c>
      <c r="S116" s="9">
        <f t="shared" si="41"/>
        <v>0.61696181195221578</v>
      </c>
      <c r="T116" s="9">
        <f t="shared" si="59"/>
        <v>-59.376433059786713</v>
      </c>
      <c r="U116" s="9"/>
      <c r="V116" s="10">
        <v>42508</v>
      </c>
      <c r="W116" s="9">
        <v>4739.1201170000004</v>
      </c>
      <c r="X116" s="11">
        <f t="shared" si="60"/>
        <v>4.9600246619719143E-3</v>
      </c>
      <c r="Y116" s="9">
        <f t="shared" si="42"/>
        <v>96.060580290743687</v>
      </c>
      <c r="Z116" s="9">
        <f t="shared" si="43"/>
        <v>0.23585950966785416</v>
      </c>
      <c r="AA116" s="9">
        <f t="shared" si="61"/>
        <v>-21.761291572766442</v>
      </c>
      <c r="AB116" s="9"/>
      <c r="AC116" s="10">
        <v>42695</v>
      </c>
      <c r="AD116" s="9">
        <v>5368.8598629999997</v>
      </c>
      <c r="AE116" s="11">
        <f t="shared" si="62"/>
        <v>8.8978690413249063E-3</v>
      </c>
      <c r="AF116" s="9">
        <f t="shared" si="44"/>
        <v>110.99083782358893</v>
      </c>
      <c r="AG116" s="9">
        <f t="shared" si="45"/>
        <v>0.99675707225142274</v>
      </c>
      <c r="AH116" s="9">
        <f t="shared" si="63"/>
        <v>-99.876240936121704</v>
      </c>
      <c r="AI116" s="9"/>
      <c r="AJ116" s="10">
        <v>42886</v>
      </c>
      <c r="AK116" s="9">
        <v>6198.5200199999999</v>
      </c>
      <c r="AL116" s="11">
        <f t="shared" si="64"/>
        <v>-7.5282573069927283E-4</v>
      </c>
      <c r="AM116" s="9">
        <f t="shared" si="46"/>
        <v>113.78818062045484</v>
      </c>
      <c r="AN116" s="9">
        <f t="shared" si="47"/>
        <v>0.99999891783819495</v>
      </c>
      <c r="AO116" s="9">
        <f t="shared" si="65"/>
        <v>-99.684016667863162</v>
      </c>
      <c r="AP116" s="9"/>
      <c r="AQ116" s="10">
        <v>43073</v>
      </c>
      <c r="AR116" s="9">
        <v>6775.3701170000004</v>
      </c>
      <c r="AS116" s="11">
        <f t="shared" si="66"/>
        <v>-1.0546736683313488E-2</v>
      </c>
      <c r="AT116" s="9">
        <f t="shared" si="48"/>
        <v>110.3405011882834</v>
      </c>
      <c r="AU116" s="9">
        <f t="shared" si="49"/>
        <v>0.99980399688453481</v>
      </c>
      <c r="AV116" s="9">
        <f t="shared" si="67"/>
        <v>-99.962760350834699</v>
      </c>
      <c r="AW116" s="9"/>
      <c r="AX116" s="10">
        <v>43263</v>
      </c>
      <c r="AY116" s="9">
        <v>7703.7900390000004</v>
      </c>
      <c r="AZ116" s="11">
        <f t="shared" si="68"/>
        <v>5.7258828725908987E-3</v>
      </c>
      <c r="BA116" s="9">
        <f t="shared" si="50"/>
        <v>107.94822681110432</v>
      </c>
      <c r="BB116" s="9">
        <f t="shared" si="51"/>
        <v>0.93144479265895241</v>
      </c>
      <c r="BC116" s="9">
        <f t="shared" si="69"/>
        <v>-92.386978192538109</v>
      </c>
      <c r="BD116" s="9"/>
      <c r="BE116" s="10">
        <v>43451</v>
      </c>
      <c r="BF116" s="9">
        <v>6753.7299800000001</v>
      </c>
      <c r="BG116" s="11">
        <f t="shared" si="70"/>
        <v>-2.2708420390742168E-2</v>
      </c>
      <c r="BH116" s="9">
        <f t="shared" si="52"/>
        <v>86.298840493583782</v>
      </c>
      <c r="BI116" s="9">
        <f t="shared" si="53"/>
        <v>1.9771571956389403E-2</v>
      </c>
      <c r="BJ116" s="9">
        <f t="shared" si="71"/>
        <v>-1.1849219828893345</v>
      </c>
    </row>
    <row r="117" spans="1:62" x14ac:dyDescent="0.3">
      <c r="A117" s="10">
        <v>41942</v>
      </c>
      <c r="B117" s="9">
        <v>4566.1401370000003</v>
      </c>
      <c r="C117" s="11">
        <f t="shared" si="54"/>
        <v>3.7171470939792437E-3</v>
      </c>
      <c r="D117" s="9">
        <f t="shared" si="36"/>
        <v>108.0722744351261</v>
      </c>
      <c r="E117" s="9">
        <f t="shared" si="37"/>
        <v>0.98805933756970787</v>
      </c>
      <c r="F117" s="9">
        <f t="shared" si="55"/>
        <v>-99.020154284014467</v>
      </c>
      <c r="G117" s="9"/>
      <c r="H117" s="10">
        <v>42132</v>
      </c>
      <c r="I117" s="9">
        <v>5003.5498049999997</v>
      </c>
      <c r="J117" s="11">
        <f t="shared" si="56"/>
        <v>1.1729713144073327E-2</v>
      </c>
      <c r="K117" s="9">
        <f t="shared" si="38"/>
        <v>105.84259048461107</v>
      </c>
      <c r="L117" s="9">
        <f t="shared" si="39"/>
        <v>0.92954518100707151</v>
      </c>
      <c r="M117" s="9">
        <f t="shared" si="57"/>
        <v>-92.429509510349263</v>
      </c>
      <c r="N117" s="9"/>
      <c r="O117" s="10">
        <v>42319</v>
      </c>
      <c r="P117" s="9">
        <v>5067.0200199999999</v>
      </c>
      <c r="Q117" s="11">
        <f t="shared" si="58"/>
        <v>-3.1909202109923224E-3</v>
      </c>
      <c r="R117" s="9">
        <f t="shared" si="40"/>
        <v>101.06005743586755</v>
      </c>
      <c r="S117" s="9">
        <f t="shared" si="41"/>
        <v>0.59574208436646447</v>
      </c>
      <c r="T117" s="9">
        <f t="shared" si="59"/>
        <v>-57.234406348723525</v>
      </c>
      <c r="U117" s="9"/>
      <c r="V117" s="10">
        <v>42509</v>
      </c>
      <c r="W117" s="9">
        <v>4712.5297849999997</v>
      </c>
      <c r="X117" s="11">
        <f t="shared" si="60"/>
        <v>-5.6108162155706484E-3</v>
      </c>
      <c r="Y117" s="9">
        <f t="shared" si="42"/>
        <v>95.521602029171262</v>
      </c>
      <c r="Z117" s="9">
        <f t="shared" si="43"/>
        <v>0.19955016363045924</v>
      </c>
      <c r="AA117" s="9">
        <f t="shared" si="61"/>
        <v>-18.293858988672884</v>
      </c>
      <c r="AB117" s="9"/>
      <c r="AC117" s="10">
        <v>42696</v>
      </c>
      <c r="AD117" s="9">
        <v>5386.3500979999999</v>
      </c>
      <c r="AE117" s="11">
        <f t="shared" si="62"/>
        <v>3.2577186677074221E-3</v>
      </c>
      <c r="AF117" s="9">
        <f t="shared" si="44"/>
        <v>111.35241474791133</v>
      </c>
      <c r="AG117" s="9">
        <f t="shared" si="45"/>
        <v>0.99782561643487477</v>
      </c>
      <c r="AH117" s="9">
        <f t="shared" si="63"/>
        <v>-99.999330498606341</v>
      </c>
      <c r="AI117" s="9"/>
      <c r="AJ117" s="10">
        <v>42887</v>
      </c>
      <c r="AK117" s="9">
        <v>6246.830078</v>
      </c>
      <c r="AL117" s="11">
        <f t="shared" si="64"/>
        <v>7.7938052703103193E-3</v>
      </c>
      <c r="AM117" s="9">
        <f t="shared" si="46"/>
        <v>114.67502354227356</v>
      </c>
      <c r="AN117" s="9">
        <f t="shared" si="47"/>
        <v>0.99999983512082069</v>
      </c>
      <c r="AO117" s="9">
        <f t="shared" si="65"/>
        <v>-99.688218544872484</v>
      </c>
      <c r="AP117" s="9"/>
      <c r="AQ117" s="10">
        <v>43074</v>
      </c>
      <c r="AR117" s="9">
        <v>6762.2099609999996</v>
      </c>
      <c r="AS117" s="11">
        <f t="shared" si="66"/>
        <v>-1.9423523398346659E-3</v>
      </c>
      <c r="AT117" s="9">
        <f t="shared" si="48"/>
        <v>110.12618105762179</v>
      </c>
      <c r="AU117" s="9">
        <f t="shared" si="49"/>
        <v>0.99979382524234184</v>
      </c>
      <c r="AV117" s="9">
        <f t="shared" si="67"/>
        <v>-99.96574832978277</v>
      </c>
      <c r="AW117" s="9"/>
      <c r="AX117" s="10">
        <v>43264</v>
      </c>
      <c r="AY117" s="9">
        <v>7695.7001950000003</v>
      </c>
      <c r="AZ117" s="11">
        <f t="shared" si="68"/>
        <v>-1.0501122121768258E-3</v>
      </c>
      <c r="BA117" s="9">
        <f t="shared" si="50"/>
        <v>107.83486905984714</v>
      </c>
      <c r="BB117" s="9">
        <f t="shared" si="51"/>
        <v>0.93192582842001037</v>
      </c>
      <c r="BC117" s="9">
        <f t="shared" si="69"/>
        <v>-92.442647423992057</v>
      </c>
      <c r="BD117" s="9"/>
      <c r="BE117" s="10">
        <v>43452</v>
      </c>
      <c r="BF117" s="9">
        <v>6783.9101559999999</v>
      </c>
      <c r="BG117" s="11">
        <f t="shared" si="70"/>
        <v>4.468667845675383E-3</v>
      </c>
      <c r="BH117" s="9">
        <f t="shared" si="52"/>
        <v>86.684481347216519</v>
      </c>
      <c r="BI117" s="9">
        <f t="shared" si="53"/>
        <v>2.1213450439979929E-2</v>
      </c>
      <c r="BJ117" s="9">
        <f t="shared" si="71"/>
        <v>-1.3099591678296489</v>
      </c>
    </row>
    <row r="118" spans="1:62" x14ac:dyDescent="0.3">
      <c r="A118" s="10">
        <v>41943</v>
      </c>
      <c r="B118" s="9">
        <v>4630.7402339999999</v>
      </c>
      <c r="C118" s="11">
        <f t="shared" si="54"/>
        <v>1.4147637843292838E-2</v>
      </c>
      <c r="D118" s="9">
        <f t="shared" si="36"/>
        <v>109.60124183473523</v>
      </c>
      <c r="E118" s="9">
        <f t="shared" si="37"/>
        <v>0.99657221790350192</v>
      </c>
      <c r="F118" s="9">
        <f t="shared" si="55"/>
        <v>-99.95724594521505</v>
      </c>
      <c r="G118" s="9"/>
      <c r="H118" s="10">
        <v>42135</v>
      </c>
      <c r="I118" s="9">
        <v>4993.5698240000002</v>
      </c>
      <c r="J118" s="11">
        <f t="shared" si="56"/>
        <v>-1.9945801258991363E-3</v>
      </c>
      <c r="K118" s="9">
        <f t="shared" si="38"/>
        <v>105.63147895715676</v>
      </c>
      <c r="L118" s="9">
        <f t="shared" si="39"/>
        <v>0.93207796824759392</v>
      </c>
      <c r="M118" s="9">
        <f t="shared" si="57"/>
        <v>-92.708447693916412</v>
      </c>
      <c r="N118" s="9"/>
      <c r="O118" s="10">
        <v>42320</v>
      </c>
      <c r="P118" s="9">
        <v>5005.080078</v>
      </c>
      <c r="Q118" s="11">
        <f t="shared" si="58"/>
        <v>-1.2224136031734088E-2</v>
      </c>
      <c r="R118" s="9">
        <f t="shared" si="40"/>
        <v>99.824685546396637</v>
      </c>
      <c r="S118" s="9">
        <f t="shared" si="41"/>
        <v>0.50620319661197732</v>
      </c>
      <c r="T118" s="9">
        <f t="shared" si="59"/>
        <v>-48.298567181680234</v>
      </c>
      <c r="U118" s="9"/>
      <c r="V118" s="10">
        <v>42510</v>
      </c>
      <c r="W118" s="9">
        <v>4769.5600590000004</v>
      </c>
      <c r="X118" s="11">
        <f t="shared" si="60"/>
        <v>1.2101838418407078E-2</v>
      </c>
      <c r="Y118" s="9">
        <f t="shared" si="42"/>
        <v>96.677589022395665</v>
      </c>
      <c r="Z118" s="9">
        <f t="shared" si="43"/>
        <v>0.26713370568716188</v>
      </c>
      <c r="AA118" s="9">
        <f t="shared" si="61"/>
        <v>-24.828424710180975</v>
      </c>
      <c r="AB118" s="9"/>
      <c r="AC118" s="10">
        <v>42697</v>
      </c>
      <c r="AD118" s="9">
        <v>5380.6801759999998</v>
      </c>
      <c r="AE118" s="11">
        <f t="shared" si="62"/>
        <v>-1.052646392611081E-3</v>
      </c>
      <c r="AF118" s="9">
        <f t="shared" si="44"/>
        <v>111.23520003021842</v>
      </c>
      <c r="AG118" s="9">
        <f t="shared" si="45"/>
        <v>0.99796366391626901</v>
      </c>
      <c r="AH118" s="9">
        <f t="shared" si="63"/>
        <v>-100.01879588378442</v>
      </c>
      <c r="AI118" s="9"/>
      <c r="AJ118" s="10">
        <v>42888</v>
      </c>
      <c r="AK118" s="9">
        <v>6305.7998049999997</v>
      </c>
      <c r="AL118" s="11">
        <f t="shared" si="64"/>
        <v>9.4399441418581993E-3</v>
      </c>
      <c r="AM118" s="9">
        <f t="shared" si="46"/>
        <v>115.75754935897888</v>
      </c>
      <c r="AN118" s="9">
        <f t="shared" si="47"/>
        <v>0.9999999857234052</v>
      </c>
      <c r="AO118" s="9">
        <f t="shared" si="65"/>
        <v>-99.692332838544644</v>
      </c>
      <c r="AP118" s="9"/>
      <c r="AQ118" s="10">
        <v>43075</v>
      </c>
      <c r="AR118" s="9">
        <v>6776.3798829999996</v>
      </c>
      <c r="AS118" s="11">
        <f t="shared" si="66"/>
        <v>2.0954572664443837E-3</v>
      </c>
      <c r="AT118" s="9">
        <f t="shared" si="48"/>
        <v>110.35694576394476</v>
      </c>
      <c r="AU118" s="9">
        <f t="shared" si="49"/>
        <v>0.99987735672074385</v>
      </c>
      <c r="AV118" s="9">
        <f t="shared" si="67"/>
        <v>-99.979074874468409</v>
      </c>
      <c r="AW118" s="9"/>
      <c r="AX118" s="10">
        <v>43265</v>
      </c>
      <c r="AY118" s="9">
        <v>7761.0400390000004</v>
      </c>
      <c r="AZ118" s="11">
        <f t="shared" si="68"/>
        <v>8.490435222834207E-3</v>
      </c>
      <c r="BA118" s="9">
        <f t="shared" si="50"/>
        <v>108.75043403036257</v>
      </c>
      <c r="BB118" s="9">
        <f t="shared" si="51"/>
        <v>0.95345922434671315</v>
      </c>
      <c r="BC118" s="9">
        <f t="shared" si="69"/>
        <v>-94.788212668139423</v>
      </c>
      <c r="BD118" s="9"/>
      <c r="BE118" s="10">
        <v>43453</v>
      </c>
      <c r="BF118" s="9">
        <v>6636.830078</v>
      </c>
      <c r="BG118" s="11">
        <f t="shared" si="70"/>
        <v>-2.1680723154907294E-2</v>
      </c>
      <c r="BH118" s="9">
        <f t="shared" si="52"/>
        <v>84.805099105300812</v>
      </c>
      <c r="BI118" s="9">
        <f t="shared" si="53"/>
        <v>8.4119589664497993E-3</v>
      </c>
      <c r="BJ118" s="9">
        <f t="shared" si="71"/>
        <v>-0.22438124976585883</v>
      </c>
    </row>
    <row r="119" spans="1:62" x14ac:dyDescent="0.3">
      <c r="A119" s="10">
        <v>41946</v>
      </c>
      <c r="B119" s="9">
        <v>4638.9101559999999</v>
      </c>
      <c r="C119" s="11">
        <f t="shared" si="54"/>
        <v>1.7642799179307285E-3</v>
      </c>
      <c r="D119" s="9">
        <f t="shared" si="36"/>
        <v>109.79460910468453</v>
      </c>
      <c r="E119" s="9">
        <f t="shared" si="37"/>
        <v>0.99819091695369633</v>
      </c>
      <c r="F119" s="9">
        <f t="shared" si="55"/>
        <v>-100.14729463046351</v>
      </c>
      <c r="G119" s="9"/>
      <c r="H119" s="10">
        <v>42136</v>
      </c>
      <c r="I119" s="9">
        <v>4976.1899409999996</v>
      </c>
      <c r="J119" s="11">
        <f t="shared" si="56"/>
        <v>-3.4804525845357477E-3</v>
      </c>
      <c r="K119" s="9">
        <f t="shared" si="38"/>
        <v>105.26383360321201</v>
      </c>
      <c r="L119" s="9">
        <f t="shared" si="39"/>
        <v>0.92271331913068166</v>
      </c>
      <c r="M119" s="9">
        <f t="shared" si="57"/>
        <v>-91.726498842015317</v>
      </c>
      <c r="N119" s="9"/>
      <c r="O119" s="10">
        <v>42321</v>
      </c>
      <c r="P119" s="9">
        <v>4927.8798829999996</v>
      </c>
      <c r="Q119" s="11">
        <f t="shared" si="58"/>
        <v>-1.5424367601896409E-2</v>
      </c>
      <c r="R119" s="9">
        <f t="shared" si="40"/>
        <v>98.284952900785299</v>
      </c>
      <c r="S119" s="9">
        <f t="shared" si="41"/>
        <v>0.38931288408484799</v>
      </c>
      <c r="T119" s="9">
        <f t="shared" si="59"/>
        <v>-36.811993233802767</v>
      </c>
      <c r="U119" s="9"/>
      <c r="V119" s="10">
        <v>42513</v>
      </c>
      <c r="W119" s="9">
        <v>4765.7797849999997</v>
      </c>
      <c r="X119" s="11">
        <f t="shared" si="60"/>
        <v>-7.9258337314935259E-4</v>
      </c>
      <c r="Y119" s="9">
        <f t="shared" si="42"/>
        <v>96.600963972780349</v>
      </c>
      <c r="Z119" s="9">
        <f t="shared" si="43"/>
        <v>0.24831133387182652</v>
      </c>
      <c r="AA119" s="9">
        <f t="shared" si="61"/>
        <v>-23.013226675930309</v>
      </c>
      <c r="AB119" s="9"/>
      <c r="AC119" s="10">
        <v>42699</v>
      </c>
      <c r="AD119" s="9">
        <v>5398.919922</v>
      </c>
      <c r="AE119" s="11">
        <f t="shared" si="62"/>
        <v>3.3898587917112798E-3</v>
      </c>
      <c r="AF119" s="9">
        <f t="shared" si="44"/>
        <v>111.61227165098862</v>
      </c>
      <c r="AG119" s="9">
        <f t="shared" si="45"/>
        <v>0.99893101244257254</v>
      </c>
      <c r="AH119" s="9">
        <f t="shared" si="63"/>
        <v>-100.13498491107994</v>
      </c>
      <c r="AI119" s="9"/>
      <c r="AJ119" s="10">
        <v>42891</v>
      </c>
      <c r="AK119" s="9">
        <v>6295.6801759999998</v>
      </c>
      <c r="AL119" s="11">
        <f t="shared" si="64"/>
        <v>-1.604812920317537E-3</v>
      </c>
      <c r="AM119" s="9">
        <f t="shared" si="46"/>
        <v>115.5717801481433</v>
      </c>
      <c r="AN119" s="9">
        <f t="shared" si="47"/>
        <v>0.99999999699178233</v>
      </c>
      <c r="AO119" s="9">
        <f t="shared" si="65"/>
        <v>-99.704625734091877</v>
      </c>
      <c r="AP119" s="9"/>
      <c r="AQ119" s="10">
        <v>43076</v>
      </c>
      <c r="AR119" s="9">
        <v>6812.8398440000001</v>
      </c>
      <c r="AS119" s="11">
        <f t="shared" si="66"/>
        <v>5.3804482082635448E-3</v>
      </c>
      <c r="AT119" s="9">
        <f t="shared" si="48"/>
        <v>110.95071559504983</v>
      </c>
      <c r="AU119" s="9">
        <f t="shared" si="49"/>
        <v>0.99995753841770696</v>
      </c>
      <c r="AV119" s="9">
        <f t="shared" si="67"/>
        <v>-99.992079904655611</v>
      </c>
      <c r="AW119" s="9"/>
      <c r="AX119" s="10">
        <v>43266</v>
      </c>
      <c r="AY119" s="9">
        <v>7746.3798829999996</v>
      </c>
      <c r="AZ119" s="11">
        <f t="shared" si="68"/>
        <v>-1.8889421941301783E-3</v>
      </c>
      <c r="BA119" s="9">
        <f t="shared" si="50"/>
        <v>108.54501074689267</v>
      </c>
      <c r="BB119" s="9">
        <f t="shared" si="51"/>
        <v>0.95263785508770671</v>
      </c>
      <c r="BC119" s="9">
        <f t="shared" si="69"/>
        <v>-94.702952619137136</v>
      </c>
      <c r="BD119" s="9"/>
      <c r="BE119" s="10">
        <v>43454</v>
      </c>
      <c r="BF119" s="9">
        <v>6528.4101559999999</v>
      </c>
      <c r="BG119" s="11">
        <f t="shared" si="70"/>
        <v>-1.6336100325876093E-2</v>
      </c>
      <c r="BH119" s="9">
        <f t="shared" si="52"/>
        <v>83.419714498170734</v>
      </c>
      <c r="BI119" s="9">
        <f t="shared" si="53"/>
        <v>3.6481448065857369E-3</v>
      </c>
      <c r="BJ119" s="9">
        <f t="shared" si="71"/>
        <v>0.17300554603561555</v>
      </c>
    </row>
    <row r="120" spans="1:62" x14ac:dyDescent="0.3">
      <c r="A120" s="10">
        <v>41947</v>
      </c>
      <c r="B120" s="9">
        <v>4623.6401370000003</v>
      </c>
      <c r="C120" s="11">
        <f t="shared" si="54"/>
        <v>-3.291725531750004E-3</v>
      </c>
      <c r="D120" s="9">
        <f t="shared" si="36"/>
        <v>109.43319538664613</v>
      </c>
      <c r="E120" s="9">
        <f t="shared" si="37"/>
        <v>0.99791262871015174</v>
      </c>
      <c r="F120" s="9">
        <f t="shared" si="55"/>
        <v>-100.1209563855481</v>
      </c>
      <c r="G120" s="9"/>
      <c r="H120" s="10">
        <v>42137</v>
      </c>
      <c r="I120" s="9">
        <v>4981.6899409999996</v>
      </c>
      <c r="J120" s="11">
        <f t="shared" si="56"/>
        <v>1.1052632767660667E-3</v>
      </c>
      <c r="K120" s="9">
        <f t="shared" si="38"/>
        <v>105.38017785286524</v>
      </c>
      <c r="L120" s="9">
        <f t="shared" si="39"/>
        <v>0.93043372430393156</v>
      </c>
      <c r="M120" s="9">
        <f t="shared" si="57"/>
        <v>-92.543846171870982</v>
      </c>
      <c r="N120" s="9"/>
      <c r="O120" s="10">
        <v>42324</v>
      </c>
      <c r="P120" s="9">
        <v>4984.6201170000004</v>
      </c>
      <c r="Q120" s="11">
        <f t="shared" si="58"/>
        <v>1.1514126834897285E-2</v>
      </c>
      <c r="R120" s="9">
        <f t="shared" si="40"/>
        <v>99.416618314446865</v>
      </c>
      <c r="S120" s="9">
        <f t="shared" si="41"/>
        <v>0.47084017911303938</v>
      </c>
      <c r="T120" s="9">
        <f t="shared" si="59"/>
        <v>-44.921699950528897</v>
      </c>
      <c r="U120" s="9"/>
      <c r="V120" s="10">
        <v>42514</v>
      </c>
      <c r="W120" s="9">
        <v>4861.0600590000004</v>
      </c>
      <c r="X120" s="11">
        <f t="shared" si="60"/>
        <v>1.999258847416523E-2</v>
      </c>
      <c r="Y120" s="9">
        <f t="shared" si="42"/>
        <v>98.532267291695803</v>
      </c>
      <c r="Z120" s="9">
        <f t="shared" si="43"/>
        <v>0.39281116279988482</v>
      </c>
      <c r="AA120" s="9">
        <f t="shared" si="61"/>
        <v>-37.252068211949002</v>
      </c>
      <c r="AB120" s="9"/>
      <c r="AC120" s="10">
        <v>42702</v>
      </c>
      <c r="AD120" s="9">
        <v>5368.8100590000004</v>
      </c>
      <c r="AE120" s="11">
        <f t="shared" si="62"/>
        <v>-5.5770160393202586E-3</v>
      </c>
      <c r="AF120" s="9">
        <f t="shared" si="44"/>
        <v>110.98980822180609</v>
      </c>
      <c r="AG120" s="9">
        <f t="shared" si="45"/>
        <v>0.99901602327361128</v>
      </c>
      <c r="AH120" s="9">
        <f t="shared" si="63"/>
        <v>-100.15676641706199</v>
      </c>
      <c r="AI120" s="9"/>
      <c r="AJ120" s="10">
        <v>42892</v>
      </c>
      <c r="AK120" s="9">
        <v>6275.0600590000004</v>
      </c>
      <c r="AL120" s="11">
        <f t="shared" si="64"/>
        <v>-3.2752802594080634E-3</v>
      </c>
      <c r="AM120" s="9">
        <f t="shared" si="46"/>
        <v>115.19325017807944</v>
      </c>
      <c r="AN120" s="9">
        <f t="shared" si="47"/>
        <v>0.99999999679523999</v>
      </c>
      <c r="AO120" s="9">
        <f t="shared" si="65"/>
        <v>-99.708723246019488</v>
      </c>
      <c r="AP120" s="9"/>
      <c r="AQ120" s="10">
        <v>43077</v>
      </c>
      <c r="AR120" s="9">
        <v>6840.080078</v>
      </c>
      <c r="AS120" s="11">
        <f t="shared" si="66"/>
        <v>3.9983669987472365E-3</v>
      </c>
      <c r="AT120" s="9">
        <f t="shared" si="48"/>
        <v>111.39433727477245</v>
      </c>
      <c r="AU120" s="9">
        <f t="shared" si="49"/>
        <v>0.99998349323728908</v>
      </c>
      <c r="AV120" s="9">
        <f t="shared" si="67"/>
        <v>-99.999080472577845</v>
      </c>
      <c r="AW120" s="9"/>
      <c r="AX120" s="10">
        <v>43269</v>
      </c>
      <c r="AY120" s="9">
        <v>7747.0297849999997</v>
      </c>
      <c r="AZ120" s="11">
        <f t="shared" si="68"/>
        <v>8.3897512104508159E-5</v>
      </c>
      <c r="BA120" s="9">
        <f t="shared" si="50"/>
        <v>108.55411740324567</v>
      </c>
      <c r="BB120" s="9">
        <f t="shared" si="51"/>
        <v>0.96151517616970772</v>
      </c>
      <c r="BC120" s="9">
        <f t="shared" si="69"/>
        <v>-95.678298800351186</v>
      </c>
      <c r="BD120" s="9"/>
      <c r="BE120" s="10">
        <v>43455</v>
      </c>
      <c r="BF120" s="9">
        <v>6332.9902339999999</v>
      </c>
      <c r="BG120" s="11">
        <f t="shared" si="70"/>
        <v>-2.9933769069395467E-2</v>
      </c>
      <c r="BH120" s="9">
        <f t="shared" si="52"/>
        <v>80.922648028547599</v>
      </c>
      <c r="BI120" s="9">
        <f t="shared" si="53"/>
        <v>6.8537592254235208E-4</v>
      </c>
      <c r="BJ120" s="9">
        <f t="shared" si="71"/>
        <v>0.41276775959204559</v>
      </c>
    </row>
    <row r="121" spans="1:62" x14ac:dyDescent="0.3">
      <c r="A121" s="10">
        <v>41948</v>
      </c>
      <c r="B121" s="9">
        <v>4620.7202150000003</v>
      </c>
      <c r="C121" s="11">
        <f t="shared" si="54"/>
        <v>-6.3152016884571009E-4</v>
      </c>
      <c r="D121" s="9">
        <f t="shared" si="36"/>
        <v>109.36408611661822</v>
      </c>
      <c r="E121" s="9">
        <f t="shared" si="37"/>
        <v>0.99815841619334789</v>
      </c>
      <c r="F121" s="9">
        <f t="shared" si="55"/>
        <v>-100.1519513534251</v>
      </c>
      <c r="G121" s="9"/>
      <c r="H121" s="10">
        <v>42138</v>
      </c>
      <c r="I121" s="9">
        <v>5050.7998049999997</v>
      </c>
      <c r="J121" s="11">
        <f t="shared" si="56"/>
        <v>1.3872775065990406E-2</v>
      </c>
      <c r="K121" s="9">
        <f t="shared" si="38"/>
        <v>106.84209335663211</v>
      </c>
      <c r="L121" s="9">
        <f t="shared" si="39"/>
        <v>0.97063908051189329</v>
      </c>
      <c r="M121" s="9">
        <f t="shared" si="57"/>
        <v>-96.843273843187589</v>
      </c>
      <c r="N121" s="9"/>
      <c r="O121" s="10">
        <v>42325</v>
      </c>
      <c r="P121" s="9">
        <v>4986.0200199999999</v>
      </c>
      <c r="Q121" s="11">
        <f t="shared" si="58"/>
        <v>2.8084447102100799E-4</v>
      </c>
      <c r="R121" s="9">
        <f t="shared" si="40"/>
        <v>99.444538922028073</v>
      </c>
      <c r="S121" s="9">
        <f t="shared" si="41"/>
        <v>0.47175615808695404</v>
      </c>
      <c r="T121" s="9">
        <f t="shared" si="59"/>
        <v>-45.014635192444374</v>
      </c>
      <c r="U121" s="9"/>
      <c r="V121" s="10">
        <v>42515</v>
      </c>
      <c r="W121" s="9">
        <v>4894.8901370000003</v>
      </c>
      <c r="X121" s="11">
        <f t="shared" si="60"/>
        <v>6.9594034201172486E-3</v>
      </c>
      <c r="Y121" s="9">
        <f t="shared" si="42"/>
        <v>99.217993089677549</v>
      </c>
      <c r="Z121" s="9">
        <f t="shared" si="43"/>
        <v>0.44903013939467273</v>
      </c>
      <c r="AA121" s="9">
        <f t="shared" si="61"/>
        <v>-42.83153318160965</v>
      </c>
      <c r="AB121" s="9"/>
      <c r="AC121" s="10">
        <v>42703</v>
      </c>
      <c r="AD121" s="9">
        <v>5379.919922</v>
      </c>
      <c r="AE121" s="11">
        <f t="shared" si="62"/>
        <v>2.069334336269853E-3</v>
      </c>
      <c r="AF121" s="9">
        <f t="shared" si="44"/>
        <v>111.21948324293547</v>
      </c>
      <c r="AG121" s="9">
        <f t="shared" si="45"/>
        <v>0.99936888269279411</v>
      </c>
      <c r="AH121" s="9">
        <f t="shared" si="63"/>
        <v>-100.20012737539464</v>
      </c>
      <c r="AI121" s="9"/>
      <c r="AJ121" s="10">
        <v>42893</v>
      </c>
      <c r="AK121" s="9">
        <v>6297.3798829999996</v>
      </c>
      <c r="AL121" s="11">
        <f t="shared" si="64"/>
        <v>3.5569100200064305E-3</v>
      </c>
      <c r="AM121" s="9">
        <f t="shared" si="46"/>
        <v>115.60298220387497</v>
      </c>
      <c r="AN121" s="9">
        <f t="shared" si="47"/>
        <v>0.99999999940522455</v>
      </c>
      <c r="AO121" s="9">
        <f t="shared" si="65"/>
        <v>-99.712821250703811</v>
      </c>
      <c r="AP121" s="9"/>
      <c r="AQ121" s="10">
        <v>43080</v>
      </c>
      <c r="AR121" s="9">
        <v>6875.080078</v>
      </c>
      <c r="AS121" s="11">
        <f t="shared" si="66"/>
        <v>5.1168991592030894E-3</v>
      </c>
      <c r="AT121" s="9">
        <f t="shared" si="48"/>
        <v>111.96433086551372</v>
      </c>
      <c r="AU121" s="9">
        <f t="shared" si="49"/>
        <v>0.99999791217584066</v>
      </c>
      <c r="AV121" s="9">
        <f t="shared" si="67"/>
        <v>-100.01302429315821</v>
      </c>
      <c r="AW121" s="9"/>
      <c r="AX121" s="10">
        <v>43270</v>
      </c>
      <c r="AY121" s="9">
        <v>7725.5898440000001</v>
      </c>
      <c r="AZ121" s="11">
        <f t="shared" si="68"/>
        <v>-2.7675046559795351E-3</v>
      </c>
      <c r="BA121" s="9">
        <f t="shared" si="50"/>
        <v>108.25369337790644</v>
      </c>
      <c r="BB121" s="9">
        <f t="shared" si="51"/>
        <v>0.95952723295900899</v>
      </c>
      <c r="BC121" s="9">
        <f t="shared" si="69"/>
        <v>-95.467028671245032</v>
      </c>
      <c r="BD121" s="9"/>
      <c r="BE121" s="10">
        <v>43458</v>
      </c>
      <c r="BF121" s="9">
        <v>6192.919922</v>
      </c>
      <c r="BG121" s="11">
        <f t="shared" si="70"/>
        <v>-2.2117563240189868E-2</v>
      </c>
      <c r="BH121" s="9">
        <f t="shared" si="52"/>
        <v>79.132836243212566</v>
      </c>
      <c r="BI121" s="9">
        <f t="shared" si="53"/>
        <v>8.3271937839112111E-5</v>
      </c>
      <c r="BJ121" s="9">
        <f t="shared" si="71"/>
        <v>0.46046484792792591</v>
      </c>
    </row>
    <row r="122" spans="1:62" x14ac:dyDescent="0.3">
      <c r="A122" s="10">
        <v>41949</v>
      </c>
      <c r="B122" s="9">
        <v>4638.4702150000003</v>
      </c>
      <c r="C122" s="11">
        <f t="shared" si="54"/>
        <v>3.8413925046530866E-3</v>
      </c>
      <c r="D122" s="9">
        <f t="shared" si="36"/>
        <v>109.78419649730485</v>
      </c>
      <c r="E122" s="9">
        <f t="shared" si="37"/>
        <v>0.99900761896624668</v>
      </c>
      <c r="F122" s="9">
        <f t="shared" si="55"/>
        <v>-100.24929631570141</v>
      </c>
      <c r="G122" s="9"/>
      <c r="H122" s="10">
        <v>42139</v>
      </c>
      <c r="I122" s="9">
        <v>5048.2900390000004</v>
      </c>
      <c r="J122" s="11">
        <f t="shared" si="56"/>
        <v>-4.9690466795272584E-4</v>
      </c>
      <c r="K122" s="9">
        <f t="shared" si="38"/>
        <v>106.78900302170938</v>
      </c>
      <c r="L122" s="9">
        <f t="shared" si="39"/>
        <v>0.97213979120498328</v>
      </c>
      <c r="M122" s="9">
        <f t="shared" si="57"/>
        <v>-97.007513184274657</v>
      </c>
      <c r="N122" s="9"/>
      <c r="O122" s="10">
        <v>42326</v>
      </c>
      <c r="P122" s="9">
        <v>5075.2001950000003</v>
      </c>
      <c r="Q122" s="11">
        <f t="shared" si="58"/>
        <v>1.7886044308342029E-2</v>
      </c>
      <c r="R122" s="9">
        <f t="shared" si="40"/>
        <v>101.22320835141012</v>
      </c>
      <c r="S122" s="9">
        <f t="shared" si="41"/>
        <v>0.61736143171950575</v>
      </c>
      <c r="T122" s="9">
        <f t="shared" si="59"/>
        <v>-59.755118096943498</v>
      </c>
      <c r="U122" s="9"/>
      <c r="V122" s="10">
        <v>42516</v>
      </c>
      <c r="W122" s="9">
        <v>4901.7700199999999</v>
      </c>
      <c r="X122" s="11">
        <f t="shared" si="60"/>
        <v>1.4055234760010729E-3</v>
      </c>
      <c r="Y122" s="9">
        <f t="shared" si="42"/>
        <v>99.357446308206804</v>
      </c>
      <c r="Z122" s="9">
        <f t="shared" si="43"/>
        <v>0.45956552584073174</v>
      </c>
      <c r="AA122" s="9">
        <f t="shared" si="61"/>
        <v>-43.880062510922912</v>
      </c>
      <c r="AB122" s="9"/>
      <c r="AC122" s="10">
        <v>42704</v>
      </c>
      <c r="AD122" s="9">
        <v>5323.6801759999998</v>
      </c>
      <c r="AE122" s="11">
        <f t="shared" si="62"/>
        <v>-1.0453639982636194E-2</v>
      </c>
      <c r="AF122" s="9">
        <f t="shared" si="44"/>
        <v>110.05683480605899</v>
      </c>
      <c r="AG122" s="9">
        <f t="shared" si="45"/>
        <v>0.99854241900318408</v>
      </c>
      <c r="AH122" s="9">
        <f t="shared" si="63"/>
        <v>-100.11328729570155</v>
      </c>
      <c r="AI122" s="9"/>
      <c r="AJ122" s="10">
        <v>42894</v>
      </c>
      <c r="AK122" s="9">
        <v>6321.7597660000001</v>
      </c>
      <c r="AL122" s="11">
        <f t="shared" si="64"/>
        <v>3.8714327947429179E-3</v>
      </c>
      <c r="AM122" s="9">
        <f t="shared" si="46"/>
        <v>116.05053138034913</v>
      </c>
      <c r="AN122" s="9">
        <f t="shared" si="47"/>
        <v>0.99999999991540711</v>
      </c>
      <c r="AO122" s="9">
        <f t="shared" si="65"/>
        <v>-99.716919181287707</v>
      </c>
      <c r="AP122" s="9"/>
      <c r="AQ122" s="10">
        <v>43081</v>
      </c>
      <c r="AR122" s="9">
        <v>6862.3198240000002</v>
      </c>
      <c r="AS122" s="11">
        <f t="shared" si="66"/>
        <v>-1.8560153271279184E-3</v>
      </c>
      <c r="AT122" s="9">
        <f t="shared" si="48"/>
        <v>111.7565233513357</v>
      </c>
      <c r="AU122" s="9">
        <f t="shared" si="49"/>
        <v>0.99999810704702974</v>
      </c>
      <c r="AV122" s="9">
        <f t="shared" si="67"/>
        <v>-100.01715628002658</v>
      </c>
      <c r="AW122" s="9"/>
      <c r="AX122" s="10">
        <v>43271</v>
      </c>
      <c r="AY122" s="9">
        <v>7781.5097660000001</v>
      </c>
      <c r="AZ122" s="11">
        <f t="shared" si="68"/>
        <v>7.2382721745744335E-3</v>
      </c>
      <c r="BA122" s="9">
        <f t="shared" si="50"/>
        <v>109.03726307447867</v>
      </c>
      <c r="BB122" s="9">
        <f t="shared" si="51"/>
        <v>0.97385491283772985</v>
      </c>
      <c r="BC122" s="9">
        <f t="shared" si="69"/>
        <v>-97.033203054593059</v>
      </c>
      <c r="BD122" s="9"/>
      <c r="BE122" s="10">
        <v>43460</v>
      </c>
      <c r="BF122" s="9">
        <v>6554.3598629999997</v>
      </c>
      <c r="BG122" s="11">
        <f t="shared" si="70"/>
        <v>5.836341266354899E-2</v>
      </c>
      <c r="BH122" s="9">
        <f t="shared" si="52"/>
        <v>83.751298620112237</v>
      </c>
      <c r="BI122" s="9">
        <f t="shared" si="53"/>
        <v>1.4813997179969536E-3</v>
      </c>
      <c r="BJ122" s="9">
        <f t="shared" si="71"/>
        <v>0.34340767868408417</v>
      </c>
    </row>
    <row r="123" spans="1:62" x14ac:dyDescent="0.3">
      <c r="A123" s="10">
        <v>41950</v>
      </c>
      <c r="B123" s="9">
        <v>4632.5297849999997</v>
      </c>
      <c r="C123" s="11">
        <f t="shared" si="54"/>
        <v>-1.2806873224690007E-3</v>
      </c>
      <c r="D123" s="9">
        <f t="shared" si="36"/>
        <v>109.6435972686433</v>
      </c>
      <c r="E123" s="9">
        <f t="shared" si="37"/>
        <v>0.99909687183790019</v>
      </c>
      <c r="F123" s="9">
        <f t="shared" si="55"/>
        <v>-100.2632022403665</v>
      </c>
      <c r="G123" s="9"/>
      <c r="H123" s="10">
        <v>42142</v>
      </c>
      <c r="I123" s="9">
        <v>5078.4399409999996</v>
      </c>
      <c r="J123" s="11">
        <f t="shared" si="56"/>
        <v>5.9722998811636225E-3</v>
      </c>
      <c r="K123" s="9">
        <f t="shared" si="38"/>
        <v>107.42677897176549</v>
      </c>
      <c r="L123" s="9">
        <f t="shared" si="39"/>
        <v>0.98679770155805668</v>
      </c>
      <c r="M123" s="9">
        <f t="shared" si="57"/>
        <v>-98.594125847634942</v>
      </c>
      <c r="N123" s="9"/>
      <c r="O123" s="10">
        <v>42327</v>
      </c>
      <c r="P123" s="9">
        <v>5073.6401370000003</v>
      </c>
      <c r="Q123" s="11">
        <f t="shared" si="58"/>
        <v>-3.0738846549087237E-4</v>
      </c>
      <c r="R123" s="9">
        <f t="shared" si="40"/>
        <v>101.19209350472292</v>
      </c>
      <c r="S123" s="9">
        <f t="shared" si="41"/>
        <v>0.61675666003180329</v>
      </c>
      <c r="T123" s="9">
        <f t="shared" si="59"/>
        <v>-59.696375724017372</v>
      </c>
      <c r="U123" s="9"/>
      <c r="V123" s="10">
        <v>42517</v>
      </c>
      <c r="W123" s="9">
        <v>4933.5</v>
      </c>
      <c r="X123" s="11">
        <f t="shared" si="60"/>
        <v>6.473167829281405E-3</v>
      </c>
      <c r="Y123" s="9">
        <f t="shared" si="42"/>
        <v>100.00060373324864</v>
      </c>
      <c r="Z123" s="9">
        <f t="shared" si="43"/>
        <v>0.51664579930878118</v>
      </c>
      <c r="AA123" s="9">
        <f t="shared" si="61"/>
        <v>-49.589927646281382</v>
      </c>
      <c r="AB123" s="9"/>
      <c r="AC123" s="10">
        <v>42705</v>
      </c>
      <c r="AD123" s="9">
        <v>5251.1098629999997</v>
      </c>
      <c r="AE123" s="11">
        <f t="shared" si="62"/>
        <v>-1.3631606445323054E-2</v>
      </c>
      <c r="AF123" s="9">
        <f t="shared" si="44"/>
        <v>108.55658334736486</v>
      </c>
      <c r="AG123" s="9">
        <f t="shared" si="45"/>
        <v>0.99556958605840873</v>
      </c>
      <c r="AH123" s="9">
        <f t="shared" si="63"/>
        <v>-99.794681037578073</v>
      </c>
      <c r="AI123" s="9"/>
      <c r="AJ123" s="10">
        <v>42895</v>
      </c>
      <c r="AK123" s="9">
        <v>6207.919922</v>
      </c>
      <c r="AL123" s="11">
        <f t="shared" si="64"/>
        <v>-1.8007619430946923E-2</v>
      </c>
      <c r="AM123" s="9">
        <f t="shared" si="46"/>
        <v>113.96073757649263</v>
      </c>
      <c r="AN123" s="9">
        <f t="shared" si="47"/>
        <v>0.99999999552354091</v>
      </c>
      <c r="AO123" s="9">
        <f t="shared" si="65"/>
        <v>-99.721016720575903</v>
      </c>
      <c r="AP123" s="9"/>
      <c r="AQ123" s="10">
        <v>43082</v>
      </c>
      <c r="AR123" s="9">
        <v>6875.7998049999997</v>
      </c>
      <c r="AS123" s="11">
        <f t="shared" si="66"/>
        <v>1.9643475305326278E-3</v>
      </c>
      <c r="AT123" s="9">
        <f t="shared" si="48"/>
        <v>111.97605200200182</v>
      </c>
      <c r="AU123" s="9">
        <f t="shared" si="49"/>
        <v>0.99999923378441846</v>
      </c>
      <c r="AV123" s="9">
        <f t="shared" si="67"/>
        <v>-100.02139282618396</v>
      </c>
      <c r="AW123" s="9"/>
      <c r="AX123" s="10">
        <v>43272</v>
      </c>
      <c r="AY123" s="9">
        <v>7712.9501950000003</v>
      </c>
      <c r="AZ123" s="11">
        <f t="shared" si="68"/>
        <v>-8.8105744337119915E-3</v>
      </c>
      <c r="BA123" s="9">
        <f t="shared" si="50"/>
        <v>108.07658215211274</v>
      </c>
      <c r="BB123" s="9">
        <f t="shared" si="51"/>
        <v>0.96292673796483563</v>
      </c>
      <c r="BC123" s="9">
        <f t="shared" si="69"/>
        <v>-95.856111012988464</v>
      </c>
      <c r="BD123" s="9"/>
      <c r="BE123" s="10">
        <v>43461</v>
      </c>
      <c r="BF123" s="9">
        <v>6579.4902339999999</v>
      </c>
      <c r="BG123" s="11">
        <f t="shared" si="70"/>
        <v>3.8341457480636043E-3</v>
      </c>
      <c r="BH123" s="9">
        <f t="shared" si="52"/>
        <v>84.072413305611335</v>
      </c>
      <c r="BI123" s="9">
        <f t="shared" si="53"/>
        <v>1.455638706910081E-3</v>
      </c>
      <c r="BJ123" s="9">
        <f t="shared" si="71"/>
        <v>0.34558758198966938</v>
      </c>
    </row>
    <row r="124" spans="1:62" x14ac:dyDescent="0.3">
      <c r="A124" s="10">
        <v>41953</v>
      </c>
      <c r="B124" s="9">
        <v>4651.6201170000004</v>
      </c>
      <c r="C124" s="11">
        <f t="shared" si="54"/>
        <v>4.1209302230100333E-3</v>
      </c>
      <c r="D124" s="9">
        <f t="shared" si="36"/>
        <v>110.09543088238718</v>
      </c>
      <c r="E124" s="9">
        <f t="shared" si="37"/>
        <v>0.99977767783756066</v>
      </c>
      <c r="F124" s="9">
        <f t="shared" si="55"/>
        <v>-100.35051784898513</v>
      </c>
      <c r="G124" s="9"/>
      <c r="H124" s="10">
        <v>42143</v>
      </c>
      <c r="I124" s="9">
        <v>5070.0297849999997</v>
      </c>
      <c r="J124" s="11">
        <f t="shared" si="56"/>
        <v>-1.6560510900408257E-3</v>
      </c>
      <c r="K124" s="9">
        <f t="shared" si="38"/>
        <v>107.24887473734974</v>
      </c>
      <c r="L124" s="9">
        <f t="shared" si="39"/>
        <v>0.98683574875492075</v>
      </c>
      <c r="M124" s="9">
        <f t="shared" si="57"/>
        <v>-98.602258263334079</v>
      </c>
      <c r="N124" s="9"/>
      <c r="O124" s="10">
        <v>42328</v>
      </c>
      <c r="P124" s="9">
        <v>5104.919922</v>
      </c>
      <c r="Q124" s="11">
        <f t="shared" si="58"/>
        <v>6.1651564075049254E-3</v>
      </c>
      <c r="R124" s="9">
        <f t="shared" si="40"/>
        <v>101.81595858838239</v>
      </c>
      <c r="S124" s="9">
        <f t="shared" si="41"/>
        <v>0.66926325856648261</v>
      </c>
      <c r="T124" s="9">
        <f t="shared" si="59"/>
        <v>-65.044838712166239</v>
      </c>
      <c r="U124" s="9"/>
      <c r="V124" s="10">
        <v>42521</v>
      </c>
      <c r="W124" s="9">
        <v>4948.0498049999997</v>
      </c>
      <c r="X124" s="11">
        <f t="shared" si="60"/>
        <v>2.9491851626633528E-3</v>
      </c>
      <c r="Y124" s="9">
        <f t="shared" si="42"/>
        <v>100.29552403003612</v>
      </c>
      <c r="Z124" s="9">
        <f t="shared" si="43"/>
        <v>0.54477515255610753</v>
      </c>
      <c r="AA124" s="9">
        <f t="shared" si="61"/>
        <v>-52.419328309821246</v>
      </c>
      <c r="AB124" s="9"/>
      <c r="AC124" s="10">
        <v>42706</v>
      </c>
      <c r="AD124" s="9">
        <v>5255.6499020000001</v>
      </c>
      <c r="AE124" s="11">
        <f t="shared" si="62"/>
        <v>8.6458655759425959E-4</v>
      </c>
      <c r="AF124" s="9">
        <f t="shared" si="44"/>
        <v>108.65043991006536</v>
      </c>
      <c r="AG124" s="9">
        <f t="shared" si="45"/>
        <v>0.99664645875037727</v>
      </c>
      <c r="AH124" s="9">
        <f t="shared" si="63"/>
        <v>-99.915784964834486</v>
      </c>
      <c r="AI124" s="9"/>
      <c r="AJ124" s="10">
        <v>42898</v>
      </c>
      <c r="AK124" s="9">
        <v>6175.4599609999996</v>
      </c>
      <c r="AL124" s="11">
        <f t="shared" si="64"/>
        <v>-5.2287982783036412E-3</v>
      </c>
      <c r="AM124" s="9">
        <f t="shared" si="46"/>
        <v>113.36485986805846</v>
      </c>
      <c r="AN124" s="9">
        <f t="shared" si="47"/>
        <v>0.99999999888673463</v>
      </c>
      <c r="AO124" s="9">
        <f t="shared" si="65"/>
        <v>-99.733312231671732</v>
      </c>
      <c r="AP124" s="9"/>
      <c r="AQ124" s="10">
        <v>43083</v>
      </c>
      <c r="AR124" s="9">
        <v>6856.5297849999997</v>
      </c>
      <c r="AS124" s="11">
        <f t="shared" si="66"/>
        <v>-2.8025859603979454E-3</v>
      </c>
      <c r="AT124" s="9">
        <f t="shared" si="48"/>
        <v>111.66222949076021</v>
      </c>
      <c r="AU124" s="9">
        <f t="shared" si="49"/>
        <v>0.99999919450852426</v>
      </c>
      <c r="AV124" s="9">
        <f t="shared" si="67"/>
        <v>-100.0254989932112</v>
      </c>
      <c r="AW124" s="9"/>
      <c r="AX124" s="10">
        <v>43273</v>
      </c>
      <c r="AY124" s="9">
        <v>7692.8198240000002</v>
      </c>
      <c r="AZ124" s="11">
        <f t="shared" si="68"/>
        <v>-2.6099443780993057E-3</v>
      </c>
      <c r="BA124" s="9">
        <f t="shared" si="50"/>
        <v>107.79450828412065</v>
      </c>
      <c r="BB124" s="9">
        <f t="shared" si="51"/>
        <v>0.96143967008199971</v>
      </c>
      <c r="BC124" s="9">
        <f t="shared" si="69"/>
        <v>-95.699752634951921</v>
      </c>
      <c r="BD124" s="9"/>
      <c r="BE124" s="10">
        <v>43462</v>
      </c>
      <c r="BF124" s="9">
        <v>6584.5200199999999</v>
      </c>
      <c r="BG124" s="11">
        <f t="shared" si="70"/>
        <v>7.6446439178650479E-4</v>
      </c>
      <c r="BH124" s="9">
        <f t="shared" si="52"/>
        <v>84.136683671915037</v>
      </c>
      <c r="BI124" s="9">
        <f t="shared" si="53"/>
        <v>1.1869393971108235E-3</v>
      </c>
      <c r="BJ124" s="9">
        <f t="shared" si="71"/>
        <v>0.36820925334233884</v>
      </c>
    </row>
    <row r="125" spans="1:62" x14ac:dyDescent="0.3">
      <c r="A125" s="10">
        <v>41954</v>
      </c>
      <c r="B125" s="9">
        <v>4660.5600590000004</v>
      </c>
      <c r="C125" s="11">
        <f t="shared" si="54"/>
        <v>1.9218985590262836E-3</v>
      </c>
      <c r="D125" s="9">
        <f t="shared" si="36"/>
        <v>110.30702313235543</v>
      </c>
      <c r="E125" s="9">
        <f t="shared" si="37"/>
        <v>0.99988469179009554</v>
      </c>
      <c r="F125" s="9">
        <f t="shared" si="55"/>
        <v>-100.36644631814784</v>
      </c>
      <c r="G125" s="9"/>
      <c r="H125" s="10">
        <v>42144</v>
      </c>
      <c r="I125" s="9">
        <v>5071.7402339999999</v>
      </c>
      <c r="J125" s="11">
        <f t="shared" si="56"/>
        <v>3.3736468473235083E-4</v>
      </c>
      <c r="K125" s="9">
        <f t="shared" si="38"/>
        <v>107.2850567201634</v>
      </c>
      <c r="L125" s="9">
        <f t="shared" si="39"/>
        <v>0.98892192777254573</v>
      </c>
      <c r="M125" s="9">
        <f t="shared" si="57"/>
        <v>-98.830126328432698</v>
      </c>
      <c r="N125" s="9"/>
      <c r="O125" s="10">
        <v>42331</v>
      </c>
      <c r="P125" s="9">
        <v>5102.4799800000001</v>
      </c>
      <c r="Q125" s="11">
        <f t="shared" si="58"/>
        <v>-4.7795891753068983E-4</v>
      </c>
      <c r="R125" s="9">
        <f t="shared" si="40"/>
        <v>101.76729474302815</v>
      </c>
      <c r="S125" s="9">
        <f t="shared" si="41"/>
        <v>0.67611722184078693</v>
      </c>
      <c r="T125" s="9">
        <f t="shared" si="59"/>
        <v>-65.750367733907012</v>
      </c>
      <c r="U125" s="9"/>
      <c r="V125" s="10">
        <v>42522</v>
      </c>
      <c r="W125" s="9">
        <v>4952.25</v>
      </c>
      <c r="X125" s="11">
        <f t="shared" si="60"/>
        <v>8.4885867473606593E-4</v>
      </c>
      <c r="Y125" s="9">
        <f t="shared" si="42"/>
        <v>100.3806607556462</v>
      </c>
      <c r="Z125" s="9">
        <f t="shared" si="43"/>
        <v>0.55405201759606237</v>
      </c>
      <c r="AA125" s="9">
        <f t="shared" si="61"/>
        <v>-53.352700415509879</v>
      </c>
      <c r="AB125" s="9"/>
      <c r="AC125" s="10">
        <v>42709</v>
      </c>
      <c r="AD125" s="9">
        <v>5308.8901370000003</v>
      </c>
      <c r="AE125" s="11">
        <f t="shared" si="62"/>
        <v>1.0130095419738673E-2</v>
      </c>
      <c r="AF125" s="9">
        <f t="shared" si="44"/>
        <v>109.75107923375089</v>
      </c>
      <c r="AG125" s="9">
        <f t="shared" si="45"/>
        <v>0.99951798735692066</v>
      </c>
      <c r="AH125" s="9">
        <f t="shared" si="63"/>
        <v>-100.24325747228461</v>
      </c>
      <c r="AI125" s="9"/>
      <c r="AJ125" s="10">
        <v>42899</v>
      </c>
      <c r="AK125" s="9">
        <v>6220.3701170000004</v>
      </c>
      <c r="AL125" s="11">
        <f t="shared" si="64"/>
        <v>7.2723580565047449E-3</v>
      </c>
      <c r="AM125" s="9">
        <f t="shared" si="46"/>
        <v>114.18928972004447</v>
      </c>
      <c r="AN125" s="9">
        <f t="shared" si="47"/>
        <v>0.99999999996371525</v>
      </c>
      <c r="AO125" s="9">
        <f t="shared" si="65"/>
        <v>-99.73741106814073</v>
      </c>
      <c r="AP125" s="9"/>
      <c r="AQ125" s="10">
        <v>43084</v>
      </c>
      <c r="AR125" s="9">
        <v>6936.580078</v>
      </c>
      <c r="AS125" s="11">
        <f t="shared" si="66"/>
        <v>1.1675044885697998E-2</v>
      </c>
      <c r="AT125" s="9">
        <f t="shared" si="48"/>
        <v>112.96589103210195</v>
      </c>
      <c r="AU125" s="9">
        <f t="shared" si="49"/>
        <v>0.99999997102432592</v>
      </c>
      <c r="AV125" s="9">
        <f t="shared" si="67"/>
        <v>-100.02969743442185</v>
      </c>
      <c r="AW125" s="9"/>
      <c r="AX125" s="10">
        <v>43276</v>
      </c>
      <c r="AY125" s="9">
        <v>7532.0097660000001</v>
      </c>
      <c r="AZ125" s="11">
        <f t="shared" si="68"/>
        <v>-2.0903915817488152E-2</v>
      </c>
      <c r="BA125" s="9">
        <f t="shared" si="50"/>
        <v>105.54118095736185</v>
      </c>
      <c r="BB125" s="9">
        <f t="shared" si="51"/>
        <v>0.91673403003807974</v>
      </c>
      <c r="BC125" s="9">
        <f t="shared" si="69"/>
        <v>-90.993265916242649</v>
      </c>
      <c r="BD125" s="9"/>
      <c r="BE125" s="10">
        <v>43465</v>
      </c>
      <c r="BF125" s="9">
        <v>6635.2797849999997</v>
      </c>
      <c r="BG125" s="11">
        <f t="shared" si="70"/>
        <v>7.7089544637757501E-3</v>
      </c>
      <c r="BH125" s="9">
        <f t="shared" si="52"/>
        <v>84.785289535074938</v>
      </c>
      <c r="BI125" s="9">
        <f t="shared" si="53"/>
        <v>8.0368896969734401E-4</v>
      </c>
      <c r="BJ125" s="9">
        <f t="shared" si="71"/>
        <v>0.4007486502548806</v>
      </c>
    </row>
    <row r="126" spans="1:62" x14ac:dyDescent="0.3">
      <c r="A126" s="10">
        <v>41955</v>
      </c>
      <c r="B126" s="9">
        <v>4675.1401370000003</v>
      </c>
      <c r="C126" s="11">
        <f t="shared" si="54"/>
        <v>3.1283961187978668E-3</v>
      </c>
      <c r="D126" s="9">
        <f t="shared" si="36"/>
        <v>110.65210719539881</v>
      </c>
      <c r="E126" s="9">
        <f t="shared" si="37"/>
        <v>0.99995450001966879</v>
      </c>
      <c r="F126" s="9">
        <f t="shared" si="55"/>
        <v>-100.37829547908272</v>
      </c>
      <c r="G126" s="9"/>
      <c r="H126" s="10">
        <v>42145</v>
      </c>
      <c r="I126" s="9">
        <v>5090.7900390000004</v>
      </c>
      <c r="J126" s="11">
        <f t="shared" si="56"/>
        <v>3.7560687497940498E-3</v>
      </c>
      <c r="K126" s="9">
        <f t="shared" si="38"/>
        <v>107.68802676902989</v>
      </c>
      <c r="L126" s="9">
        <f t="shared" si="39"/>
        <v>0.99326806232092912</v>
      </c>
      <c r="M126" s="9">
        <f t="shared" si="57"/>
        <v>-99.302214577518569</v>
      </c>
      <c r="N126" s="9"/>
      <c r="O126" s="10">
        <v>42332</v>
      </c>
      <c r="P126" s="9">
        <v>5102.8100590000004</v>
      </c>
      <c r="Q126" s="11">
        <f t="shared" si="58"/>
        <v>6.4689915745695138E-5</v>
      </c>
      <c r="R126" s="9">
        <f t="shared" si="40"/>
        <v>101.77387806075073</v>
      </c>
      <c r="S126" s="9">
        <f t="shared" si="41"/>
        <v>0.68090981845630849</v>
      </c>
      <c r="T126" s="9">
        <f t="shared" si="59"/>
        <v>-66.240831002879077</v>
      </c>
      <c r="U126" s="9"/>
      <c r="V126" s="10">
        <v>42523</v>
      </c>
      <c r="W126" s="9">
        <v>4971.3598629999997</v>
      </c>
      <c r="X126" s="11">
        <f t="shared" si="60"/>
        <v>3.8588243727597916E-3</v>
      </c>
      <c r="Y126" s="9">
        <f t="shared" si="42"/>
        <v>100.76801209592384</v>
      </c>
      <c r="Z126" s="9">
        <f t="shared" si="43"/>
        <v>0.59572167628136685</v>
      </c>
      <c r="AA126" s="9">
        <f t="shared" si="61"/>
        <v>-57.553861707726618</v>
      </c>
      <c r="AB126" s="9"/>
      <c r="AC126" s="10">
        <v>42710</v>
      </c>
      <c r="AD126" s="9">
        <v>5333</v>
      </c>
      <c r="AE126" s="11">
        <f t="shared" si="62"/>
        <v>4.5414130595710376E-3</v>
      </c>
      <c r="AF126" s="9">
        <f t="shared" si="44"/>
        <v>110.24950421828508</v>
      </c>
      <c r="AG126" s="9">
        <f t="shared" si="45"/>
        <v>0.9998220560988833</v>
      </c>
      <c r="AH126" s="9">
        <f t="shared" si="63"/>
        <v>-100.28090057090796</v>
      </c>
      <c r="AI126" s="9"/>
      <c r="AJ126" s="10">
        <v>42900</v>
      </c>
      <c r="AK126" s="9">
        <v>6194.8901370000003</v>
      </c>
      <c r="AL126" s="11">
        <f t="shared" si="64"/>
        <v>-4.0962160644371299E-3</v>
      </c>
      <c r="AM126" s="9">
        <f t="shared" si="46"/>
        <v>113.72154571710655</v>
      </c>
      <c r="AN126" s="9">
        <f t="shared" si="47"/>
        <v>0.99999999996470146</v>
      </c>
      <c r="AO126" s="9">
        <f t="shared" si="65"/>
        <v>-99.74150995019103</v>
      </c>
      <c r="AP126" s="9"/>
      <c r="AQ126" s="10">
        <v>43087</v>
      </c>
      <c r="AR126" s="9">
        <v>6994.7597660000001</v>
      </c>
      <c r="AS126" s="11">
        <f t="shared" si="66"/>
        <v>8.3873735105462685E-3</v>
      </c>
      <c r="AT126" s="9">
        <f t="shared" si="48"/>
        <v>113.91337815413986</v>
      </c>
      <c r="AU126" s="9">
        <f t="shared" si="49"/>
        <v>0.99999999982641219</v>
      </c>
      <c r="AV126" s="9">
        <f t="shared" si="67"/>
        <v>-100.04203390406506</v>
      </c>
      <c r="AW126" s="9"/>
      <c r="AX126" s="10">
        <v>43277</v>
      </c>
      <c r="AY126" s="9">
        <v>7561.6298829999996</v>
      </c>
      <c r="AZ126" s="11">
        <f t="shared" si="68"/>
        <v>3.93256486916768E-3</v>
      </c>
      <c r="BA126" s="9">
        <f t="shared" si="50"/>
        <v>105.95622849784525</v>
      </c>
      <c r="BB126" s="9">
        <f t="shared" si="51"/>
        <v>0.93633383726764174</v>
      </c>
      <c r="BC126" s="9">
        <f t="shared" si="69"/>
        <v>-93.073727095695105</v>
      </c>
      <c r="BD126" s="9"/>
      <c r="BE126" s="10">
        <v>43467</v>
      </c>
      <c r="BF126" s="9">
        <v>6665.9399409999996</v>
      </c>
      <c r="BG126" s="11">
        <f t="shared" si="70"/>
        <v>4.6207781726569528E-3</v>
      </c>
      <c r="BH126" s="9">
        <f t="shared" si="52"/>
        <v>85.177063550321009</v>
      </c>
      <c r="BI126" s="9">
        <f t="shared" si="53"/>
        <v>5.4108236849942923E-4</v>
      </c>
      <c r="BJ126" s="9">
        <f t="shared" si="71"/>
        <v>0.42314964901273927</v>
      </c>
    </row>
    <row r="127" spans="1:62" x14ac:dyDescent="0.3">
      <c r="A127" s="10">
        <v>41956</v>
      </c>
      <c r="B127" s="9">
        <v>4680.1401370000003</v>
      </c>
      <c r="C127" s="11">
        <f t="shared" si="54"/>
        <v>1.0694866578284986E-3</v>
      </c>
      <c r="D127" s="9">
        <f t="shared" si="36"/>
        <v>110.77044814770491</v>
      </c>
      <c r="E127" s="9">
        <f t="shared" si="37"/>
        <v>0.99997763225537994</v>
      </c>
      <c r="F127" s="9">
        <f t="shared" si="55"/>
        <v>-100.38498306739396</v>
      </c>
      <c r="G127" s="9"/>
      <c r="H127" s="10">
        <v>42146</v>
      </c>
      <c r="I127" s="9">
        <v>5089.3598629999997</v>
      </c>
      <c r="J127" s="11">
        <f t="shared" si="56"/>
        <v>-2.8093399826831006E-4</v>
      </c>
      <c r="K127" s="9">
        <f t="shared" si="38"/>
        <v>107.65777354110404</v>
      </c>
      <c r="L127" s="9">
        <f t="shared" si="39"/>
        <v>0.99431557385458069</v>
      </c>
      <c r="M127" s="9">
        <f t="shared" si="57"/>
        <v>-99.419068333773481</v>
      </c>
      <c r="N127" s="9"/>
      <c r="O127" s="10">
        <v>42333</v>
      </c>
      <c r="P127" s="9">
        <v>5116.1401370000003</v>
      </c>
      <c r="Q127" s="11">
        <f t="shared" si="58"/>
        <v>2.6123014272281691E-3</v>
      </c>
      <c r="R127" s="9">
        <f t="shared" si="40"/>
        <v>102.03974210766337</v>
      </c>
      <c r="S127" s="9">
        <f t="shared" si="41"/>
        <v>0.70876470196092323</v>
      </c>
      <c r="T127" s="9">
        <f t="shared" si="59"/>
        <v>-69.085858413997499</v>
      </c>
      <c r="U127" s="9"/>
      <c r="V127" s="10">
        <v>42524</v>
      </c>
      <c r="W127" s="9">
        <v>4942.5200199999999</v>
      </c>
      <c r="X127" s="11">
        <f t="shared" si="60"/>
        <v>-5.801198021218314E-3</v>
      </c>
      <c r="Y127" s="9">
        <f t="shared" si="42"/>
        <v>100.18343690355084</v>
      </c>
      <c r="Z127" s="9">
        <f t="shared" si="43"/>
        <v>0.53399789218303328</v>
      </c>
      <c r="AA127" s="9">
        <f t="shared" si="61"/>
        <v>-51.372526153857507</v>
      </c>
      <c r="AB127" s="9"/>
      <c r="AC127" s="10">
        <v>42711</v>
      </c>
      <c r="AD127" s="9">
        <v>5393.7597660000001</v>
      </c>
      <c r="AE127" s="11">
        <f t="shared" si="62"/>
        <v>1.13931681980124E-2</v>
      </c>
      <c r="AF127" s="9">
        <f t="shared" si="44"/>
        <v>111.50559536359145</v>
      </c>
      <c r="AG127" s="9">
        <f t="shared" si="45"/>
        <v>0.99998092651746573</v>
      </c>
      <c r="AH127" s="9">
        <f t="shared" si="63"/>
        <v>-100.30273672909979</v>
      </c>
      <c r="AI127" s="9"/>
      <c r="AJ127" s="10">
        <v>42901</v>
      </c>
      <c r="AK127" s="9">
        <v>6165.5</v>
      </c>
      <c r="AL127" s="11">
        <f t="shared" si="64"/>
        <v>-4.7442547567490981E-3</v>
      </c>
      <c r="AM127" s="9">
        <f t="shared" si="46"/>
        <v>113.18202173289332</v>
      </c>
      <c r="AN127" s="9">
        <f t="shared" si="47"/>
        <v>0.99999999995913069</v>
      </c>
      <c r="AO127" s="9">
        <f t="shared" si="65"/>
        <v>-99.74560899994934</v>
      </c>
      <c r="AP127" s="9"/>
      <c r="AQ127" s="10">
        <v>43088</v>
      </c>
      <c r="AR127" s="9">
        <v>6963.8500979999999</v>
      </c>
      <c r="AS127" s="11">
        <f t="shared" si="66"/>
        <v>-4.4189749232340161E-3</v>
      </c>
      <c r="AT127" s="9">
        <f t="shared" si="48"/>
        <v>113.40999779265584</v>
      </c>
      <c r="AU127" s="9">
        <f t="shared" si="49"/>
        <v>0.99999999979238652</v>
      </c>
      <c r="AV127" s="9">
        <f t="shared" si="67"/>
        <v>-100.04614530114827</v>
      </c>
      <c r="AW127" s="9"/>
      <c r="AX127" s="10">
        <v>43278</v>
      </c>
      <c r="AY127" s="9">
        <v>7445.080078</v>
      </c>
      <c r="AZ127" s="11">
        <f t="shared" si="68"/>
        <v>-1.5413317869739441E-2</v>
      </c>
      <c r="BA127" s="9">
        <f t="shared" si="50"/>
        <v>104.3230914677292</v>
      </c>
      <c r="BB127" s="9">
        <f t="shared" si="51"/>
        <v>0.87690638665308962</v>
      </c>
      <c r="BC127" s="9">
        <f t="shared" si="69"/>
        <v>-86.877896755823969</v>
      </c>
      <c r="BD127" s="9"/>
      <c r="BE127" s="10">
        <v>43468</v>
      </c>
      <c r="BF127" s="9">
        <v>6463.5</v>
      </c>
      <c r="BG127" s="11">
        <f t="shared" si="70"/>
        <v>-3.0369301672650586E-2</v>
      </c>
      <c r="BH127" s="9">
        <f t="shared" si="52"/>
        <v>82.590295611770784</v>
      </c>
      <c r="BI127" s="9">
        <f t="shared" si="53"/>
        <v>2.63692563686277E-5</v>
      </c>
      <c r="BJ127" s="9">
        <f t="shared" si="71"/>
        <v>0.46567734716780768</v>
      </c>
    </row>
    <row r="128" spans="1:62" x14ac:dyDescent="0.3">
      <c r="A128" s="10">
        <v>41957</v>
      </c>
      <c r="B128" s="9">
        <v>4688.5400390000004</v>
      </c>
      <c r="C128" s="11">
        <f t="shared" si="54"/>
        <v>1.7947971116489905E-3</v>
      </c>
      <c r="D128" s="9">
        <f t="shared" si="36"/>
        <v>110.96925862809648</v>
      </c>
      <c r="E128" s="9">
        <f t="shared" si="37"/>
        <v>0.99999129076451287</v>
      </c>
      <c r="F128" s="9">
        <f t="shared" si="55"/>
        <v>-100.3906242370593</v>
      </c>
      <c r="G128" s="9"/>
      <c r="H128" s="10">
        <v>42150</v>
      </c>
      <c r="I128" s="9">
        <v>5032.75</v>
      </c>
      <c r="J128" s="11">
        <f t="shared" si="56"/>
        <v>-1.1123179441791357E-2</v>
      </c>
      <c r="K128" s="9">
        <f t="shared" si="38"/>
        <v>106.4602768077026</v>
      </c>
      <c r="L128" s="9">
        <f t="shared" si="39"/>
        <v>0.99289733876584074</v>
      </c>
      <c r="M128" s="9">
        <f t="shared" si="57"/>
        <v>-99.284426837518268</v>
      </c>
      <c r="N128" s="9"/>
      <c r="O128" s="10">
        <v>42335</v>
      </c>
      <c r="P128" s="9">
        <v>5127.5200199999999</v>
      </c>
      <c r="Q128" s="11">
        <f t="shared" si="58"/>
        <v>2.2243102603269464E-3</v>
      </c>
      <c r="R128" s="9">
        <f t="shared" si="40"/>
        <v>102.26671015299456</v>
      </c>
      <c r="S128" s="9">
        <f t="shared" si="41"/>
        <v>0.74095867232030832</v>
      </c>
      <c r="T128" s="9">
        <f t="shared" si="59"/>
        <v>-72.383908372508259</v>
      </c>
      <c r="U128" s="9"/>
      <c r="V128" s="10">
        <v>42527</v>
      </c>
      <c r="W128" s="9">
        <v>4968.7099609999996</v>
      </c>
      <c r="X128" s="11">
        <f t="shared" si="60"/>
        <v>5.2989043835981542E-3</v>
      </c>
      <c r="Y128" s="9">
        <f t="shared" si="42"/>
        <v>100.71429935652301</v>
      </c>
      <c r="Z128" s="9">
        <f t="shared" si="43"/>
        <v>0.60068780018163448</v>
      </c>
      <c r="AA128" s="9">
        <f t="shared" si="61"/>
        <v>-58.095487501645856</v>
      </c>
      <c r="AB128" s="9"/>
      <c r="AC128" s="10">
        <v>42712</v>
      </c>
      <c r="AD128" s="9">
        <v>5417.3598629999997</v>
      </c>
      <c r="AE128" s="11">
        <f t="shared" si="62"/>
        <v>4.37544459224244E-3</v>
      </c>
      <c r="AF128" s="9">
        <f t="shared" si="44"/>
        <v>111.99348191782987</v>
      </c>
      <c r="AG128" s="9">
        <f t="shared" si="45"/>
        <v>0.9999955268509978</v>
      </c>
      <c r="AH128" s="9">
        <f t="shared" si="63"/>
        <v>-100.30849398626614</v>
      </c>
      <c r="AI128" s="9"/>
      <c r="AJ128" s="10">
        <v>42902</v>
      </c>
      <c r="AK128" s="9">
        <v>6151.7597660000001</v>
      </c>
      <c r="AL128" s="11">
        <f t="shared" si="64"/>
        <v>-2.2285676749655135E-3</v>
      </c>
      <c r="AM128" s="9">
        <f t="shared" si="46"/>
        <v>112.92978793787213</v>
      </c>
      <c r="AN128" s="9">
        <f t="shared" si="47"/>
        <v>0.99999999998191269</v>
      </c>
      <c r="AO128" s="9">
        <f t="shared" si="65"/>
        <v>-99.749708221368479</v>
      </c>
      <c r="AP128" s="9"/>
      <c r="AQ128" s="10">
        <v>43089</v>
      </c>
      <c r="AR128" s="9">
        <v>6960.9599609999996</v>
      </c>
      <c r="AS128" s="11">
        <f t="shared" si="66"/>
        <v>-4.1501999028243909E-4</v>
      </c>
      <c r="AT128" s="9">
        <f t="shared" si="48"/>
        <v>113.362930376474</v>
      </c>
      <c r="AU128" s="9">
        <f t="shared" si="49"/>
        <v>0.99999999993586863</v>
      </c>
      <c r="AV128" s="9">
        <f t="shared" si="67"/>
        <v>-100.05025688732088</v>
      </c>
      <c r="AW128" s="9"/>
      <c r="AX128" s="10">
        <v>43279</v>
      </c>
      <c r="AY128" s="9">
        <v>7503.6801759999998</v>
      </c>
      <c r="AZ128" s="11">
        <f t="shared" si="68"/>
        <v>7.8709829022741498E-3</v>
      </c>
      <c r="BA128" s="9">
        <f t="shared" si="50"/>
        <v>105.14421673698409</v>
      </c>
      <c r="BB128" s="9">
        <f t="shared" si="51"/>
        <v>0.92125283227880628</v>
      </c>
      <c r="BC128" s="9">
        <f t="shared" si="69"/>
        <v>-91.544239444097244</v>
      </c>
      <c r="BD128" s="9"/>
      <c r="BE128" s="10">
        <v>43469</v>
      </c>
      <c r="BF128" s="9">
        <v>6738.8598629999997</v>
      </c>
      <c r="BG128" s="11">
        <f t="shared" si="70"/>
        <v>4.2602284056625618E-2</v>
      </c>
      <c r="BH128" s="9">
        <f t="shared" si="52"/>
        <v>86.108830845744123</v>
      </c>
      <c r="BI128" s="9">
        <f t="shared" si="53"/>
        <v>5.2795012428252493E-4</v>
      </c>
      <c r="BJ128" s="9">
        <f t="shared" si="71"/>
        <v>0.42250594287561455</v>
      </c>
    </row>
    <row r="129" spans="1:62" x14ac:dyDescent="0.3">
      <c r="A129" s="10">
        <v>41960</v>
      </c>
      <c r="B129" s="9">
        <v>4671</v>
      </c>
      <c r="C129" s="11">
        <f t="shared" si="54"/>
        <v>-3.7410449423700511E-3</v>
      </c>
      <c r="D129" s="9">
        <f t="shared" si="36"/>
        <v>110.55411764434729</v>
      </c>
      <c r="E129" s="9">
        <f t="shared" si="37"/>
        <v>0.99999845270111209</v>
      </c>
      <c r="F129" s="9">
        <f t="shared" si="55"/>
        <v>-100.40379370790903</v>
      </c>
      <c r="G129" s="9"/>
      <c r="H129" s="10">
        <v>42151</v>
      </c>
      <c r="I129" s="9">
        <v>5106.5898440000001</v>
      </c>
      <c r="J129" s="11">
        <f t="shared" si="56"/>
        <v>1.467186806417964E-2</v>
      </c>
      <c r="K129" s="9">
        <f t="shared" si="38"/>
        <v>108.02224794310125</v>
      </c>
      <c r="L129" s="9">
        <f t="shared" si="39"/>
        <v>0.9991411101306974</v>
      </c>
      <c r="M129" s="9">
        <f t="shared" si="57"/>
        <v>-99.96297332175817</v>
      </c>
      <c r="N129" s="9"/>
      <c r="O129" s="10">
        <v>42338</v>
      </c>
      <c r="P129" s="9">
        <v>5108.669922</v>
      </c>
      <c r="Q129" s="11">
        <f t="shared" si="58"/>
        <v>-3.6762602440311661E-3</v>
      </c>
      <c r="R129" s="9">
        <f t="shared" si="40"/>
        <v>101.89075111217124</v>
      </c>
      <c r="S129" s="9">
        <f t="shared" si="41"/>
        <v>0.73016812404348297</v>
      </c>
      <c r="T129" s="9">
        <f t="shared" si="59"/>
        <v>-71.29337589730325</v>
      </c>
      <c r="U129" s="9"/>
      <c r="V129" s="10">
        <v>42528</v>
      </c>
      <c r="W129" s="9">
        <v>4961.75</v>
      </c>
      <c r="X129" s="11">
        <f t="shared" si="60"/>
        <v>-1.4007581554627126E-3</v>
      </c>
      <c r="Y129" s="9">
        <f t="shared" si="42"/>
        <v>100.57322298032764</v>
      </c>
      <c r="Z129" s="9">
        <f t="shared" si="43"/>
        <v>0.58637548416309149</v>
      </c>
      <c r="AA129" s="9">
        <f t="shared" si="61"/>
        <v>-56.658439286194351</v>
      </c>
      <c r="AB129" s="9"/>
      <c r="AC129" s="10">
        <v>42713</v>
      </c>
      <c r="AD129" s="9">
        <v>5444.5</v>
      </c>
      <c r="AE129" s="11">
        <f t="shared" si="62"/>
        <v>5.0098456972306037E-3</v>
      </c>
      <c r="AF129" s="9">
        <f t="shared" si="44"/>
        <v>112.55455198133377</v>
      </c>
      <c r="AG129" s="9">
        <f t="shared" si="45"/>
        <v>0.99999929022020317</v>
      </c>
      <c r="AH129" s="9">
        <f t="shared" si="63"/>
        <v>-100.31303992218241</v>
      </c>
      <c r="AI129" s="9"/>
      <c r="AJ129" s="10">
        <v>42905</v>
      </c>
      <c r="AK129" s="9">
        <v>6239.0097660000001</v>
      </c>
      <c r="AL129" s="11">
        <f t="shared" si="64"/>
        <v>1.418293355378078E-2</v>
      </c>
      <c r="AM129" s="9">
        <f t="shared" si="46"/>
        <v>114.53146361643753</v>
      </c>
      <c r="AN129" s="9">
        <f t="shared" si="47"/>
        <v>1</v>
      </c>
      <c r="AO129" s="9">
        <f t="shared" si="65"/>
        <v>-99.762006890794268</v>
      </c>
      <c r="AP129" s="9"/>
      <c r="AQ129" s="10">
        <v>43090</v>
      </c>
      <c r="AR129" s="9">
        <v>6965.3598629999997</v>
      </c>
      <c r="AS129" s="11">
        <f t="shared" si="66"/>
        <v>6.320826473146426E-4</v>
      </c>
      <c r="AT129" s="9">
        <f t="shared" si="48"/>
        <v>113.43458511761371</v>
      </c>
      <c r="AU129" s="9">
        <f t="shared" si="49"/>
        <v>0.99999999998848055</v>
      </c>
      <c r="AV129" s="9">
        <f t="shared" si="67"/>
        <v>-100.05436863216872</v>
      </c>
      <c r="AW129" s="9"/>
      <c r="AX129" s="10">
        <v>43280</v>
      </c>
      <c r="AY129" s="9">
        <v>7510.2998049999997</v>
      </c>
      <c r="AZ129" s="11">
        <f t="shared" si="68"/>
        <v>8.8218432085794757E-4</v>
      </c>
      <c r="BA129" s="9">
        <f t="shared" si="50"/>
        <v>105.23697331641834</v>
      </c>
      <c r="BB129" s="9">
        <f t="shared" si="51"/>
        <v>0.93182932852129718</v>
      </c>
      <c r="BC129" s="9">
        <f t="shared" si="69"/>
        <v>-92.661040066285707</v>
      </c>
      <c r="BD129" s="9"/>
      <c r="BE129" s="10">
        <v>43472</v>
      </c>
      <c r="BF129" s="9">
        <v>6823.4702150000003</v>
      </c>
      <c r="BG129" s="11">
        <f t="shared" si="70"/>
        <v>1.255558858918515E-2</v>
      </c>
      <c r="BH129" s="9">
        <f t="shared" si="52"/>
        <v>87.18997789973902</v>
      </c>
      <c r="BI129" s="9">
        <f t="shared" si="53"/>
        <v>3.0343067704065335E-4</v>
      </c>
      <c r="BJ129" s="9">
        <f t="shared" si="71"/>
        <v>0.4421338815036196</v>
      </c>
    </row>
    <row r="130" spans="1:62" x14ac:dyDescent="0.3">
      <c r="A130" s="10">
        <v>41961</v>
      </c>
      <c r="B130" s="9">
        <v>4702.4399409999996</v>
      </c>
      <c r="C130" s="11">
        <f t="shared" si="54"/>
        <v>6.73088011132512E-3</v>
      </c>
      <c r="D130" s="9">
        <f t="shared" si="36"/>
        <v>111.29824415602472</v>
      </c>
      <c r="E130" s="9">
        <f t="shared" si="37"/>
        <v>0.99999990756554979</v>
      </c>
      <c r="F130" s="9">
        <f t="shared" si="55"/>
        <v>-100.40808189985525</v>
      </c>
      <c r="G130" s="9"/>
      <c r="H130" s="10">
        <v>42152</v>
      </c>
      <c r="I130" s="9">
        <v>5097.9799800000001</v>
      </c>
      <c r="J130" s="11">
        <f t="shared" si="56"/>
        <v>-1.6860300637060554E-3</v>
      </c>
      <c r="K130" s="9">
        <f t="shared" si="38"/>
        <v>107.84011918552008</v>
      </c>
      <c r="L130" s="9">
        <f t="shared" si="39"/>
        <v>0.99931490739098472</v>
      </c>
      <c r="M130" s="9">
        <f t="shared" si="57"/>
        <v>-99.985823790831944</v>
      </c>
      <c r="N130" s="9"/>
      <c r="O130" s="10">
        <v>42339</v>
      </c>
      <c r="P130" s="9">
        <v>5156.3100590000004</v>
      </c>
      <c r="Q130" s="11">
        <f t="shared" si="58"/>
        <v>9.3253503803098752E-3</v>
      </c>
      <c r="R130" s="9">
        <f t="shared" si="40"/>
        <v>102.8409180668052</v>
      </c>
      <c r="S130" s="9">
        <f t="shared" si="41"/>
        <v>0.82862872287789635</v>
      </c>
      <c r="T130" s="9">
        <f t="shared" si="59"/>
        <v>-81.422084199808154</v>
      </c>
      <c r="U130" s="9"/>
      <c r="V130" s="10">
        <v>42529</v>
      </c>
      <c r="W130" s="9">
        <v>4974.6401370000003</v>
      </c>
      <c r="X130" s="11">
        <f t="shared" si="60"/>
        <v>2.597901345291545E-3</v>
      </c>
      <c r="Y130" s="9">
        <f t="shared" si="42"/>
        <v>100.83450229160856</v>
      </c>
      <c r="Z130" s="9">
        <f t="shared" si="43"/>
        <v>0.62464084579483825</v>
      </c>
      <c r="AA130" s="9">
        <f t="shared" si="61"/>
        <v>-60.519236458196794</v>
      </c>
      <c r="AB130" s="9"/>
      <c r="AC130" s="10">
        <v>42716</v>
      </c>
      <c r="AD130" s="9">
        <v>5412.5400390000004</v>
      </c>
      <c r="AE130" s="11">
        <f t="shared" si="62"/>
        <v>-5.8701370190099309E-3</v>
      </c>
      <c r="AF130" s="9">
        <f t="shared" si="44"/>
        <v>111.89384133909009</v>
      </c>
      <c r="AG130" s="9">
        <f t="shared" si="45"/>
        <v>0.99999993665817588</v>
      </c>
      <c r="AH130" s="9">
        <f t="shared" si="63"/>
        <v>-100.32548037809957</v>
      </c>
      <c r="AI130" s="9"/>
      <c r="AJ130" s="10">
        <v>42906</v>
      </c>
      <c r="AK130" s="9">
        <v>6188.0297849999997</v>
      </c>
      <c r="AL130" s="11">
        <f t="shared" si="64"/>
        <v>-8.1711654432438992E-3</v>
      </c>
      <c r="AM130" s="9">
        <f t="shared" si="46"/>
        <v>113.59560807877077</v>
      </c>
      <c r="AN130" s="9">
        <f t="shared" si="47"/>
        <v>1</v>
      </c>
      <c r="AO130" s="9">
        <f t="shared" si="65"/>
        <v>-99.766106783540408</v>
      </c>
      <c r="AP130" s="9"/>
      <c r="AQ130" s="10">
        <v>43091</v>
      </c>
      <c r="AR130" s="9">
        <v>6959.9599609999996</v>
      </c>
      <c r="AS130" s="11">
        <f t="shared" si="66"/>
        <v>-7.7525097140844035E-4</v>
      </c>
      <c r="AT130" s="9">
        <f t="shared" si="48"/>
        <v>113.34664484530997</v>
      </c>
      <c r="AU130" s="9">
        <f t="shared" si="49"/>
        <v>0.99999999999725564</v>
      </c>
      <c r="AV130" s="9">
        <f t="shared" si="67"/>
        <v>-100.05848054102246</v>
      </c>
      <c r="AW130" s="9"/>
      <c r="AX130" s="10">
        <v>43283</v>
      </c>
      <c r="AY130" s="9">
        <v>7567.6899409999996</v>
      </c>
      <c r="AZ130" s="11">
        <f t="shared" si="68"/>
        <v>7.6415239724241593E-3</v>
      </c>
      <c r="BA130" s="9">
        <f t="shared" si="50"/>
        <v>106.04114417080113</v>
      </c>
      <c r="BB130" s="9">
        <f t="shared" si="51"/>
        <v>0.97365439477116034</v>
      </c>
      <c r="BC130" s="9">
        <f t="shared" si="69"/>
        <v>-97.107642614530448</v>
      </c>
      <c r="BD130" s="9"/>
      <c r="BE130" s="10">
        <v>43473</v>
      </c>
      <c r="BF130" s="9">
        <v>6897</v>
      </c>
      <c r="BG130" s="11">
        <f t="shared" si="70"/>
        <v>1.0776010253310634E-2</v>
      </c>
      <c r="BH130" s="9">
        <f t="shared" si="52"/>
        <v>88.129537995572534</v>
      </c>
      <c r="BI130" s="9">
        <f t="shared" si="53"/>
        <v>4.3096182196070268E-4</v>
      </c>
      <c r="BJ130" s="9">
        <f t="shared" si="71"/>
        <v>0.43091279088066936</v>
      </c>
    </row>
    <row r="131" spans="1:62" x14ac:dyDescent="0.3">
      <c r="A131" s="10">
        <v>41962</v>
      </c>
      <c r="B131" s="9">
        <v>4675.7099609999996</v>
      </c>
      <c r="C131" s="11">
        <f t="shared" si="54"/>
        <v>-5.6842788712609888E-3</v>
      </c>
      <c r="D131" s="9">
        <f t="shared" si="36"/>
        <v>110.66559389836019</v>
      </c>
      <c r="E131" s="9">
        <f t="shared" si="37"/>
        <v>0.9999999013188976</v>
      </c>
      <c r="F131" s="9">
        <f t="shared" si="55"/>
        <v>-100.41220765288527</v>
      </c>
      <c r="G131" s="9"/>
      <c r="H131" s="10">
        <v>42153</v>
      </c>
      <c r="I131" s="9">
        <v>5070.0297849999997</v>
      </c>
      <c r="J131" s="11">
        <f t="shared" si="56"/>
        <v>-5.4826019540391265E-3</v>
      </c>
      <c r="K131" s="9">
        <f t="shared" si="38"/>
        <v>107.24887473734974</v>
      </c>
      <c r="L131" s="9">
        <f t="shared" si="39"/>
        <v>0.99907082818442661</v>
      </c>
      <c r="M131" s="9">
        <f t="shared" si="57"/>
        <v>-99.963755661471737</v>
      </c>
      <c r="N131" s="9"/>
      <c r="O131" s="10">
        <v>42340</v>
      </c>
      <c r="P131" s="9">
        <v>5123.2202150000003</v>
      </c>
      <c r="Q131" s="11">
        <f t="shared" si="58"/>
        <v>-6.4173495428662087E-3</v>
      </c>
      <c r="R131" s="9">
        <f t="shared" si="40"/>
        <v>102.18095194826124</v>
      </c>
      <c r="S131" s="9">
        <f t="shared" si="41"/>
        <v>0.7818585593324503</v>
      </c>
      <c r="T131" s="9">
        <f t="shared" si="59"/>
        <v>-76.646410547764603</v>
      </c>
      <c r="U131" s="9"/>
      <c r="V131" s="10">
        <v>42530</v>
      </c>
      <c r="W131" s="9">
        <v>4958.6201170000004</v>
      </c>
      <c r="X131" s="11">
        <f t="shared" si="60"/>
        <v>-3.2203374633769876E-3</v>
      </c>
      <c r="Y131" s="9">
        <f t="shared" si="42"/>
        <v>100.50978116627792</v>
      </c>
      <c r="Z131" s="9">
        <f t="shared" si="43"/>
        <v>0.58479619337134181</v>
      </c>
      <c r="AA131" s="9">
        <f t="shared" si="61"/>
        <v>-56.516946305479323</v>
      </c>
      <c r="AB131" s="9"/>
      <c r="AC131" s="10">
        <v>42717</v>
      </c>
      <c r="AD131" s="9">
        <v>5463.830078</v>
      </c>
      <c r="AE131" s="11">
        <f t="shared" si="62"/>
        <v>9.4761495768030703E-3</v>
      </c>
      <c r="AF131" s="9">
        <f t="shared" si="44"/>
        <v>112.95416411634235</v>
      </c>
      <c r="AG131" s="9">
        <f t="shared" si="45"/>
        <v>0.99999999935491313</v>
      </c>
      <c r="AH131" s="9">
        <f t="shared" si="63"/>
        <v>-100.32961050962378</v>
      </c>
      <c r="AI131" s="9"/>
      <c r="AJ131" s="10">
        <v>42907</v>
      </c>
      <c r="AK131" s="9">
        <v>6233.9501950000003</v>
      </c>
      <c r="AL131" s="11">
        <f t="shared" si="64"/>
        <v>7.4208450177976363E-3</v>
      </c>
      <c r="AM131" s="9">
        <f t="shared" si="46"/>
        <v>114.4385834810258</v>
      </c>
      <c r="AN131" s="9">
        <f t="shared" si="47"/>
        <v>1</v>
      </c>
      <c r="AO131" s="9">
        <f t="shared" si="65"/>
        <v>-99.770206844778755</v>
      </c>
      <c r="AP131" s="9"/>
      <c r="AQ131" s="10">
        <v>43095</v>
      </c>
      <c r="AR131" s="9">
        <v>6936.25</v>
      </c>
      <c r="AS131" s="11">
        <f t="shared" si="66"/>
        <v>-3.4066231893369893E-3</v>
      </c>
      <c r="AT131" s="9">
        <f t="shared" si="48"/>
        <v>112.9605155365464</v>
      </c>
      <c r="AU131" s="9">
        <f t="shared" si="49"/>
        <v>0.99999999999999956</v>
      </c>
      <c r="AV131" s="9">
        <f t="shared" si="67"/>
        <v>-100.07492986269838</v>
      </c>
      <c r="AW131" s="9"/>
      <c r="AX131" s="10">
        <v>43284</v>
      </c>
      <c r="AY131" s="9">
        <v>7502.669922</v>
      </c>
      <c r="AZ131" s="11">
        <f t="shared" si="68"/>
        <v>-8.59179214620516E-3</v>
      </c>
      <c r="BA131" s="9">
        <f t="shared" si="50"/>
        <v>105.13006070113981</v>
      </c>
      <c r="BB131" s="9">
        <f t="shared" si="51"/>
        <v>0.95935421498969053</v>
      </c>
      <c r="BC131" s="9">
        <f t="shared" si="69"/>
        <v>-95.608254653108574</v>
      </c>
      <c r="BD131" s="9"/>
      <c r="BE131" s="10">
        <v>43474</v>
      </c>
      <c r="BF131" s="9">
        <v>6957.080078</v>
      </c>
      <c r="BG131" s="11">
        <f t="shared" si="70"/>
        <v>8.7110450920690093E-3</v>
      </c>
      <c r="BH131" s="9">
        <f t="shared" si="52"/>
        <v>88.897238374995183</v>
      </c>
      <c r="BI131" s="9">
        <f t="shared" si="53"/>
        <v>4.9573712296210111E-4</v>
      </c>
      <c r="BJ131" s="9">
        <f t="shared" si="71"/>
        <v>0.42517215461544994</v>
      </c>
    </row>
    <row r="132" spans="1:62" x14ac:dyDescent="0.3">
      <c r="A132" s="10">
        <v>41963</v>
      </c>
      <c r="B132" s="9">
        <v>4701.8701170000004</v>
      </c>
      <c r="C132" s="11">
        <f t="shared" si="54"/>
        <v>5.5949056331984119E-3</v>
      </c>
      <c r="D132" s="9">
        <f t="shared" si="36"/>
        <v>111.28475745306336</v>
      </c>
      <c r="E132" s="9">
        <f t="shared" si="37"/>
        <v>0.999999996987185</v>
      </c>
      <c r="F132" s="9">
        <f t="shared" si="55"/>
        <v>-100.4163449131819</v>
      </c>
      <c r="G132" s="9"/>
      <c r="H132" s="10">
        <v>42156</v>
      </c>
      <c r="I132" s="9">
        <v>5082.9301759999998</v>
      </c>
      <c r="J132" s="11">
        <f t="shared" si="56"/>
        <v>2.5444408705776723E-3</v>
      </c>
      <c r="K132" s="9">
        <f t="shared" si="38"/>
        <v>107.5217631575549</v>
      </c>
      <c r="L132" s="9">
        <f t="shared" si="39"/>
        <v>0.99993917042954317</v>
      </c>
      <c r="M132" s="9">
        <f t="shared" si="57"/>
        <v>-100.06944640908233</v>
      </c>
      <c r="N132" s="9"/>
      <c r="O132" s="10">
        <v>42341</v>
      </c>
      <c r="P132" s="9">
        <v>5037.5297849999997</v>
      </c>
      <c r="Q132" s="11">
        <f t="shared" si="58"/>
        <v>-1.6725892388758181E-2</v>
      </c>
      <c r="R132" s="9">
        <f t="shared" si="40"/>
        <v>100.47188434179375</v>
      </c>
      <c r="S132" s="9">
        <f t="shared" si="41"/>
        <v>0.57914736882334539</v>
      </c>
      <c r="T132" s="9">
        <f t="shared" si="59"/>
        <v>-56.282785177358633</v>
      </c>
      <c r="U132" s="9"/>
      <c r="V132" s="10">
        <v>42531</v>
      </c>
      <c r="W132" s="9">
        <v>4894.5498049999997</v>
      </c>
      <c r="X132" s="11">
        <f t="shared" si="60"/>
        <v>-1.2920996262719097E-2</v>
      </c>
      <c r="Y132" s="9">
        <f t="shared" si="42"/>
        <v>99.211094659461722</v>
      </c>
      <c r="Z132" s="9">
        <f t="shared" si="43"/>
        <v>0.38595608139438042</v>
      </c>
      <c r="AA132" s="9">
        <f t="shared" si="61"/>
        <v>-36.792123795992367</v>
      </c>
      <c r="AB132" s="9"/>
      <c r="AC132" s="10">
        <v>42718</v>
      </c>
      <c r="AD132" s="9">
        <v>5436.669922</v>
      </c>
      <c r="AE132" s="11">
        <f t="shared" si="62"/>
        <v>-4.9709005610111719E-3</v>
      </c>
      <c r="AF132" s="9">
        <f t="shared" si="44"/>
        <v>112.3926801985679</v>
      </c>
      <c r="AG132" s="9">
        <f t="shared" si="45"/>
        <v>0.99999999975117515</v>
      </c>
      <c r="AH132" s="9">
        <f t="shared" si="63"/>
        <v>-100.3337337735623</v>
      </c>
      <c r="AI132" s="9"/>
      <c r="AJ132" s="10">
        <v>42908</v>
      </c>
      <c r="AK132" s="9">
        <v>6236.6899409999996</v>
      </c>
      <c r="AL132" s="11">
        <f t="shared" si="64"/>
        <v>4.3948795134692058E-4</v>
      </c>
      <c r="AM132" s="9">
        <f t="shared" si="46"/>
        <v>114.48887785963491</v>
      </c>
      <c r="AN132" s="9">
        <f t="shared" si="47"/>
        <v>1</v>
      </c>
      <c r="AO132" s="9">
        <f t="shared" si="65"/>
        <v>-99.77430707451623</v>
      </c>
      <c r="AP132" s="9"/>
      <c r="AQ132" s="10">
        <v>43096</v>
      </c>
      <c r="AR132" s="9">
        <v>6939.3398440000001</v>
      </c>
      <c r="AS132" s="11">
        <f t="shared" si="66"/>
        <v>4.4546318255542759E-4</v>
      </c>
      <c r="AT132" s="9">
        <f t="shared" si="48"/>
        <v>113.01083528730041</v>
      </c>
      <c r="AU132" s="9">
        <f t="shared" si="49"/>
        <v>1</v>
      </c>
      <c r="AV132" s="9">
        <f t="shared" si="67"/>
        <v>-100.07904261555699</v>
      </c>
      <c r="AW132" s="9"/>
      <c r="AX132" s="10">
        <v>43286</v>
      </c>
      <c r="AY132" s="9">
        <v>7586.4301759999998</v>
      </c>
      <c r="AZ132" s="11">
        <f t="shared" si="68"/>
        <v>1.1164059577563248E-2</v>
      </c>
      <c r="BA132" s="9">
        <f t="shared" si="50"/>
        <v>106.30373896220019</v>
      </c>
      <c r="BB132" s="9">
        <f t="shared" si="51"/>
        <v>0.99183768948119599</v>
      </c>
      <c r="BC132" s="9">
        <f t="shared" si="69"/>
        <v>-99.069227981699171</v>
      </c>
      <c r="BD132" s="9"/>
      <c r="BE132" s="10">
        <v>43475</v>
      </c>
      <c r="BF132" s="9">
        <v>6986.0698240000002</v>
      </c>
      <c r="BG132" s="11">
        <f t="shared" si="70"/>
        <v>4.166941543719313E-3</v>
      </c>
      <c r="BH132" s="9">
        <f t="shared" si="52"/>
        <v>89.267667970701865</v>
      </c>
      <c r="BI132" s="9">
        <f t="shared" si="53"/>
        <v>3.3878017917963045E-4</v>
      </c>
      <c r="BJ132" s="9">
        <f t="shared" si="71"/>
        <v>0.43920080814602708</v>
      </c>
    </row>
    <row r="133" spans="1:62" x14ac:dyDescent="0.3">
      <c r="A133" s="10">
        <v>41964</v>
      </c>
      <c r="B133" s="9">
        <v>4712.9702150000003</v>
      </c>
      <c r="C133" s="11">
        <f t="shared" si="54"/>
        <v>2.3607836294470505E-3</v>
      </c>
      <c r="D133" s="9">
        <f t="shared" si="36"/>
        <v>111.54747668666553</v>
      </c>
      <c r="E133" s="9">
        <f t="shared" si="37"/>
        <v>0.99999999989268018</v>
      </c>
      <c r="F133" s="9">
        <f t="shared" si="55"/>
        <v>-100.42047202118492</v>
      </c>
      <c r="G133" s="9"/>
      <c r="H133" s="10">
        <v>42157</v>
      </c>
      <c r="I133" s="9">
        <v>5076.5200199999999</v>
      </c>
      <c r="J133" s="11">
        <f t="shared" si="56"/>
        <v>-1.2611143136033343E-3</v>
      </c>
      <c r="K133" s="9">
        <f t="shared" si="38"/>
        <v>107.38616592301304</v>
      </c>
      <c r="L133" s="9">
        <f t="shared" si="39"/>
        <v>0.99997700197194139</v>
      </c>
      <c r="M133" s="9">
        <f t="shared" si="57"/>
        <v>-100.07762152087794</v>
      </c>
      <c r="N133" s="9"/>
      <c r="O133" s="10">
        <v>42342</v>
      </c>
      <c r="P133" s="9">
        <v>5142.2700199999999</v>
      </c>
      <c r="Q133" s="11">
        <f t="shared" si="58"/>
        <v>2.0791983267648355E-2</v>
      </c>
      <c r="R133" s="9">
        <f t="shared" si="40"/>
        <v>102.56089407989744</v>
      </c>
      <c r="S133" s="9">
        <f t="shared" si="41"/>
        <v>0.85105743540534262</v>
      </c>
      <c r="T133" s="9">
        <f t="shared" si="59"/>
        <v>-84.172437754032245</v>
      </c>
      <c r="U133" s="9"/>
      <c r="V133" s="10">
        <v>42534</v>
      </c>
      <c r="W133" s="9">
        <v>4848.4399409999996</v>
      </c>
      <c r="X133" s="11">
        <f t="shared" si="60"/>
        <v>-9.4206547766449832E-3</v>
      </c>
      <c r="Y133" s="9">
        <f t="shared" si="42"/>
        <v>98.276461186661876</v>
      </c>
      <c r="Z133" s="9">
        <f t="shared" si="43"/>
        <v>0.18584224410811698</v>
      </c>
      <c r="AA133" s="9">
        <f t="shared" si="61"/>
        <v>-17.130180327906324</v>
      </c>
      <c r="AB133" s="9"/>
      <c r="AC133" s="10">
        <v>42719</v>
      </c>
      <c r="AD133" s="9">
        <v>5456.8500979999999</v>
      </c>
      <c r="AE133" s="11">
        <f t="shared" si="62"/>
        <v>3.7118633813575572E-3</v>
      </c>
      <c r="AF133" s="9">
        <f t="shared" si="44"/>
        <v>112.80986647252958</v>
      </c>
      <c r="AG133" s="9">
        <f t="shared" si="45"/>
        <v>0.99999999999784461</v>
      </c>
      <c r="AH133" s="9">
        <f t="shared" si="63"/>
        <v>-100.3378571902433</v>
      </c>
      <c r="AI133" s="9"/>
      <c r="AJ133" s="10">
        <v>42909</v>
      </c>
      <c r="AK133" s="9">
        <v>6265.25</v>
      </c>
      <c r="AL133" s="11">
        <f t="shared" si="64"/>
        <v>4.5793616918882781E-3</v>
      </c>
      <c r="AM133" s="9">
        <f t="shared" si="46"/>
        <v>115.0131638410526</v>
      </c>
      <c r="AN133" s="9">
        <f t="shared" si="47"/>
        <v>1</v>
      </c>
      <c r="AO133" s="9">
        <f t="shared" si="65"/>
        <v>-99.778407472759767</v>
      </c>
      <c r="AP133" s="9"/>
      <c r="AQ133" s="10">
        <v>43097</v>
      </c>
      <c r="AR133" s="9">
        <v>6950.1601559999999</v>
      </c>
      <c r="AS133" s="11">
        <f t="shared" si="66"/>
        <v>1.5592710896491771E-3</v>
      </c>
      <c r="AT133" s="9">
        <f t="shared" si="48"/>
        <v>113.18704981558101</v>
      </c>
      <c r="AU133" s="9">
        <f t="shared" si="49"/>
        <v>1</v>
      </c>
      <c r="AV133" s="9">
        <f t="shared" si="67"/>
        <v>-100.08315553743626</v>
      </c>
      <c r="AW133" s="9"/>
      <c r="AX133" s="10">
        <v>43287</v>
      </c>
      <c r="AY133" s="9">
        <v>7688.3901370000003</v>
      </c>
      <c r="AZ133" s="11">
        <f t="shared" si="68"/>
        <v>1.3439781113725296E-2</v>
      </c>
      <c r="BA133" s="9">
        <f t="shared" si="50"/>
        <v>107.73243794542276</v>
      </c>
      <c r="BB133" s="9">
        <f t="shared" si="51"/>
        <v>0.99918677492956165</v>
      </c>
      <c r="BC133" s="9">
        <f t="shared" si="69"/>
        <v>-99.865034295515841</v>
      </c>
      <c r="BD133" s="9"/>
      <c r="BE133" s="10">
        <v>43476</v>
      </c>
      <c r="BF133" s="9">
        <v>6971.4799800000001</v>
      </c>
      <c r="BG133" s="11">
        <f t="shared" si="70"/>
        <v>-2.0884194357574295E-3</v>
      </c>
      <c r="BH133" s="9">
        <f t="shared" si="52"/>
        <v>89.081239637927112</v>
      </c>
      <c r="BI133" s="9">
        <f t="shared" si="53"/>
        <v>9.09918633532814E-5</v>
      </c>
      <c r="BJ133" s="9">
        <f t="shared" si="71"/>
        <v>0.46129214820679448</v>
      </c>
    </row>
    <row r="134" spans="1:62" x14ac:dyDescent="0.3">
      <c r="A134" s="10">
        <v>41967</v>
      </c>
      <c r="B134" s="9">
        <v>4754.8901370000003</v>
      </c>
      <c r="C134" s="11">
        <f t="shared" si="54"/>
        <v>8.8945866592963479E-3</v>
      </c>
      <c r="D134" s="9">
        <f t="shared" si="36"/>
        <v>112.53964538468094</v>
      </c>
      <c r="E134" s="9">
        <f t="shared" si="37"/>
        <v>1</v>
      </c>
      <c r="F134" s="9">
        <f t="shared" si="55"/>
        <v>-100.43285340262167</v>
      </c>
      <c r="G134" s="9"/>
      <c r="H134" s="10">
        <v>42158</v>
      </c>
      <c r="I134" s="9">
        <v>5099.2299800000001</v>
      </c>
      <c r="J134" s="11">
        <f t="shared" si="56"/>
        <v>4.4735290928686489E-3</v>
      </c>
      <c r="K134" s="9">
        <f t="shared" si="38"/>
        <v>107.86656106044128</v>
      </c>
      <c r="L134" s="9">
        <f t="shared" si="39"/>
        <v>0.99999892039272498</v>
      </c>
      <c r="M134" s="9">
        <f t="shared" si="57"/>
        <v>-100.08409864902866</v>
      </c>
      <c r="N134" s="9"/>
      <c r="O134" s="10">
        <v>42345</v>
      </c>
      <c r="P134" s="9">
        <v>5101.8100590000004</v>
      </c>
      <c r="Q134" s="11">
        <f t="shared" si="58"/>
        <v>-7.8681128845115699E-3</v>
      </c>
      <c r="R134" s="9">
        <f t="shared" si="40"/>
        <v>101.75393338774037</v>
      </c>
      <c r="S134" s="9">
        <f t="shared" si="41"/>
        <v>0.84287634332282557</v>
      </c>
      <c r="T134" s="9">
        <f t="shared" si="59"/>
        <v>-83.350357518792023</v>
      </c>
      <c r="U134" s="9"/>
      <c r="V134" s="10">
        <v>42535</v>
      </c>
      <c r="W134" s="9">
        <v>4843.5498049999997</v>
      </c>
      <c r="X134" s="11">
        <f t="shared" si="60"/>
        <v>-1.0085998918223961E-3</v>
      </c>
      <c r="Y134" s="9">
        <f t="shared" si="42"/>
        <v>98.177339558540325</v>
      </c>
      <c r="Z134" s="9">
        <f t="shared" si="43"/>
        <v>0.13613502349205522</v>
      </c>
      <c r="AA134" s="9">
        <f t="shared" si="61"/>
        <v>-12.250761645450968</v>
      </c>
      <c r="AB134" s="9"/>
      <c r="AC134" s="10">
        <v>42720</v>
      </c>
      <c r="AD134" s="9">
        <v>5437.1601559999999</v>
      </c>
      <c r="AE134" s="11">
        <f t="shared" si="62"/>
        <v>-3.6082981292113138E-3</v>
      </c>
      <c r="AF134" s="9">
        <f t="shared" si="44"/>
        <v>112.40281484238017</v>
      </c>
      <c r="AG134" s="9">
        <f t="shared" si="45"/>
        <v>0.99999999999990574</v>
      </c>
      <c r="AH134" s="9">
        <f t="shared" si="63"/>
        <v>-100.3419807487882</v>
      </c>
      <c r="AI134" s="9"/>
      <c r="AJ134" s="10">
        <v>42912</v>
      </c>
      <c r="AK134" s="9">
        <v>6247.1499020000001</v>
      </c>
      <c r="AL134" s="11">
        <f t="shared" si="64"/>
        <v>-2.8889666014923409E-3</v>
      </c>
      <c r="AM134" s="9">
        <f t="shared" si="46"/>
        <v>114.68089465198383</v>
      </c>
      <c r="AN134" s="9">
        <f t="shared" si="47"/>
        <v>1</v>
      </c>
      <c r="AO134" s="9">
        <f t="shared" si="65"/>
        <v>-99.790709678595988</v>
      </c>
      <c r="AP134" s="9"/>
      <c r="AQ134" s="10">
        <v>43098</v>
      </c>
      <c r="AR134" s="9">
        <v>6903.3901370000003</v>
      </c>
      <c r="AS134" s="11">
        <f t="shared" si="66"/>
        <v>-6.7293440654922938E-3</v>
      </c>
      <c r="AT134" s="9">
        <f t="shared" si="48"/>
        <v>112.42537521361393</v>
      </c>
      <c r="AU134" s="9">
        <f t="shared" si="49"/>
        <v>1</v>
      </c>
      <c r="AV134" s="9">
        <f t="shared" si="67"/>
        <v>-100.08726862834318</v>
      </c>
      <c r="AW134" s="9"/>
      <c r="AX134" s="10">
        <v>43290</v>
      </c>
      <c r="AY134" s="9">
        <v>7756.2001950000003</v>
      </c>
      <c r="AZ134" s="11">
        <f t="shared" si="68"/>
        <v>8.8197993067062833E-3</v>
      </c>
      <c r="BA134" s="9">
        <f t="shared" si="50"/>
        <v>108.68261642692356</v>
      </c>
      <c r="BB134" s="9">
        <f t="shared" si="51"/>
        <v>0.99999965168949212</v>
      </c>
      <c r="BC134" s="9">
        <f t="shared" si="69"/>
        <v>-99.965692755131585</v>
      </c>
      <c r="BD134" s="9"/>
      <c r="BE134" s="10">
        <v>43479</v>
      </c>
      <c r="BF134" s="9">
        <v>6905.919922</v>
      </c>
      <c r="BG134" s="11">
        <f t="shared" si="70"/>
        <v>-9.4040373332607667E-3</v>
      </c>
      <c r="BH134" s="9">
        <f t="shared" si="52"/>
        <v>88.243516334678901</v>
      </c>
      <c r="BI134" s="9">
        <f t="shared" si="53"/>
        <v>4.5987681137065722E-9</v>
      </c>
      <c r="BJ134" s="9">
        <f t="shared" si="71"/>
        <v>0.46937805951610373</v>
      </c>
    </row>
    <row r="135" spans="1:62" x14ac:dyDescent="0.3">
      <c r="A135" s="10">
        <v>41968</v>
      </c>
      <c r="B135" s="9">
        <v>4758.25</v>
      </c>
      <c r="C135" s="11">
        <f t="shared" si="54"/>
        <v>7.0661211998465092E-4</v>
      </c>
      <c r="D135" s="9">
        <f t="shared" si="36"/>
        <v>112.61916726208851</v>
      </c>
      <c r="E135" s="9">
        <f t="shared" si="37"/>
        <v>1</v>
      </c>
      <c r="F135" s="9">
        <f t="shared" si="55"/>
        <v>-100.43698086496904</v>
      </c>
      <c r="G135" s="9"/>
      <c r="H135" s="10">
        <v>42159</v>
      </c>
      <c r="I135" s="9">
        <v>5059.1201170000004</v>
      </c>
      <c r="J135" s="11">
        <f t="shared" si="56"/>
        <v>-7.8658666420845912E-3</v>
      </c>
      <c r="K135" s="9">
        <f t="shared" si="38"/>
        <v>107.01809707599956</v>
      </c>
      <c r="L135" s="9">
        <f t="shared" si="39"/>
        <v>0.99999894458698524</v>
      </c>
      <c r="M135" s="9">
        <f t="shared" si="57"/>
        <v>-100.0882143679181</v>
      </c>
      <c r="N135" s="9"/>
      <c r="O135" s="10">
        <v>42346</v>
      </c>
      <c r="P135" s="9">
        <v>5098.2402339999999</v>
      </c>
      <c r="Q135" s="11">
        <f t="shared" si="58"/>
        <v>-6.9971734712134868E-4</v>
      </c>
      <c r="R135" s="9">
        <f t="shared" si="40"/>
        <v>101.68273439541113</v>
      </c>
      <c r="S135" s="9">
        <f t="shared" si="41"/>
        <v>0.88044866740999894</v>
      </c>
      <c r="T135" s="9">
        <f t="shared" si="59"/>
        <v>-87.174239597109704</v>
      </c>
      <c r="U135" s="9"/>
      <c r="V135" s="10">
        <v>42536</v>
      </c>
      <c r="W135" s="9">
        <v>4834.9301759999998</v>
      </c>
      <c r="X135" s="11">
        <f t="shared" si="60"/>
        <v>-1.7796098619862969E-3</v>
      </c>
      <c r="Y135" s="9">
        <f t="shared" si="42"/>
        <v>98.002622196838374</v>
      </c>
      <c r="Z135" s="9">
        <f t="shared" si="43"/>
        <v>6.9028169857962118E-2</v>
      </c>
      <c r="AA135" s="9">
        <f t="shared" si="61"/>
        <v>-5.6746174882335696</v>
      </c>
      <c r="AB135" s="9"/>
      <c r="AC135" s="10">
        <v>42723</v>
      </c>
      <c r="AD135" s="9">
        <v>5457.4399409999996</v>
      </c>
      <c r="AE135" s="11">
        <f t="shared" si="62"/>
        <v>3.7298487479020879E-3</v>
      </c>
      <c r="AF135" s="9">
        <f t="shared" si="44"/>
        <v>112.82206034058071</v>
      </c>
      <c r="AG135" s="9">
        <f t="shared" si="45"/>
        <v>1</v>
      </c>
      <c r="AH135" s="9">
        <f t="shared" si="63"/>
        <v>-100.35435244055512</v>
      </c>
      <c r="AI135" s="9"/>
      <c r="AJ135" s="10">
        <v>42913</v>
      </c>
      <c r="AK135" s="9">
        <v>6146.6201170000004</v>
      </c>
      <c r="AL135" s="11">
        <f t="shared" si="64"/>
        <v>-1.6092103851680511E-2</v>
      </c>
      <c r="AM135" s="9">
        <f t="shared" si="46"/>
        <v>112.83543778544048</v>
      </c>
      <c r="AN135" s="9">
        <f t="shared" si="47"/>
        <v>1</v>
      </c>
      <c r="AO135" s="9">
        <f t="shared" si="65"/>
        <v>-99.794810750932996</v>
      </c>
      <c r="AP135" s="9"/>
      <c r="AQ135" s="10">
        <v>43102</v>
      </c>
      <c r="AR135" s="9">
        <v>7006.8999020000001</v>
      </c>
      <c r="AS135" s="11">
        <f t="shared" si="66"/>
        <v>1.4994048278572581E-2</v>
      </c>
      <c r="AT135" s="9">
        <f t="shared" si="48"/>
        <v>114.11108671730349</v>
      </c>
      <c r="AU135" s="9">
        <f t="shared" si="49"/>
        <v>1</v>
      </c>
      <c r="AV135" s="9">
        <f t="shared" si="67"/>
        <v>-100.10372268238646</v>
      </c>
      <c r="AW135" s="9"/>
      <c r="AX135" s="10">
        <v>43291</v>
      </c>
      <c r="AY135" s="9">
        <v>7759.2001950000003</v>
      </c>
      <c r="AZ135" s="11">
        <f t="shared" si="68"/>
        <v>3.867873345938049E-4</v>
      </c>
      <c r="BA135" s="9">
        <f t="shared" si="50"/>
        <v>108.72465348644802</v>
      </c>
      <c r="BB135" s="9">
        <f t="shared" si="51"/>
        <v>0.99999999946722151</v>
      </c>
      <c r="BC135" s="9">
        <f t="shared" si="69"/>
        <v>-99.969838830714806</v>
      </c>
      <c r="BD135" s="9"/>
      <c r="BE135" s="10">
        <v>43480</v>
      </c>
      <c r="BF135" s="9">
        <v>7023.830078</v>
      </c>
      <c r="BG135" s="11">
        <f t="shared" si="70"/>
        <v>1.7073779790636835E-2</v>
      </c>
      <c r="BH135" s="9">
        <f t="shared" si="52"/>
        <v>89.750166700528666</v>
      </c>
      <c r="BI135" s="9">
        <f t="shared" si="53"/>
        <v>5.7294716600968443E-10</v>
      </c>
      <c r="BJ135" s="9">
        <f t="shared" si="71"/>
        <v>0.46939771073986525</v>
      </c>
    </row>
    <row r="136" spans="1:62" x14ac:dyDescent="0.3">
      <c r="A136" s="10">
        <v>41969</v>
      </c>
      <c r="B136" s="9">
        <v>4787.3198240000002</v>
      </c>
      <c r="C136" s="11">
        <f t="shared" si="54"/>
        <v>6.1093519676351923E-3</v>
      </c>
      <c r="D136" s="9">
        <f t="shared" si="36"/>
        <v>113.3071973931946</v>
      </c>
      <c r="E136" s="9">
        <f t="shared" si="37"/>
        <v>1</v>
      </c>
      <c r="F136" s="9">
        <f t="shared" si="55"/>
        <v>-100.44110849694164</v>
      </c>
      <c r="G136" s="9"/>
      <c r="H136" s="10">
        <v>42160</v>
      </c>
      <c r="I136" s="9">
        <v>5068.4599609999996</v>
      </c>
      <c r="J136" s="11">
        <f t="shared" si="56"/>
        <v>1.8461399974700728E-3</v>
      </c>
      <c r="K136" s="9">
        <f t="shared" si="38"/>
        <v>107.21566746546469</v>
      </c>
      <c r="L136" s="9">
        <f t="shared" si="39"/>
        <v>0.9999999904041752</v>
      </c>
      <c r="M136" s="9">
        <f t="shared" si="57"/>
        <v>-100.09243979471451</v>
      </c>
      <c r="N136" s="9"/>
      <c r="O136" s="10">
        <v>42347</v>
      </c>
      <c r="P136" s="9">
        <v>5022.8701170000004</v>
      </c>
      <c r="Q136" s="11">
        <f t="shared" si="58"/>
        <v>-1.4783555411406194E-2</v>
      </c>
      <c r="R136" s="9">
        <f t="shared" si="40"/>
        <v>100.17950205709327</v>
      </c>
      <c r="S136" s="9">
        <f t="shared" si="41"/>
        <v>0.57381142422393838</v>
      </c>
      <c r="T136" s="9">
        <f t="shared" si="59"/>
        <v>-56.459055839181559</v>
      </c>
      <c r="U136" s="9"/>
      <c r="V136" s="10">
        <v>42537</v>
      </c>
      <c r="W136" s="9">
        <v>4844.919922</v>
      </c>
      <c r="X136" s="11">
        <f t="shared" si="60"/>
        <v>2.0661613790387439E-3</v>
      </c>
      <c r="Y136" s="9">
        <f t="shared" si="42"/>
        <v>98.205111429865994</v>
      </c>
      <c r="Z136" s="9">
        <f t="shared" si="43"/>
        <v>2.9376931950969135E-2</v>
      </c>
      <c r="AA136" s="9">
        <f t="shared" si="61"/>
        <v>-1.7808964594955343</v>
      </c>
      <c r="AB136" s="9"/>
      <c r="AC136" s="10">
        <v>42724</v>
      </c>
      <c r="AD136" s="9">
        <v>5483.9399409999996</v>
      </c>
      <c r="AE136" s="11">
        <f t="shared" si="62"/>
        <v>4.8557565976885941E-3</v>
      </c>
      <c r="AF136" s="9">
        <f t="shared" si="44"/>
        <v>113.36989680444429</v>
      </c>
      <c r="AG136" s="9">
        <f t="shared" si="45"/>
        <v>1</v>
      </c>
      <c r="AH136" s="9">
        <f t="shared" si="63"/>
        <v>-100.35847667676927</v>
      </c>
      <c r="AI136" s="9"/>
      <c r="AJ136" s="10">
        <v>42914</v>
      </c>
      <c r="AK136" s="9">
        <v>6234.4101559999999</v>
      </c>
      <c r="AL136" s="11">
        <f t="shared" si="64"/>
        <v>1.4282652470614611E-2</v>
      </c>
      <c r="AM136" s="9">
        <f t="shared" si="46"/>
        <v>114.44702712969959</v>
      </c>
      <c r="AN136" s="9">
        <f t="shared" si="47"/>
        <v>1</v>
      </c>
      <c r="AO136" s="9">
        <f t="shared" si="65"/>
        <v>-99.798911991810684</v>
      </c>
      <c r="AP136" s="9"/>
      <c r="AQ136" s="10">
        <v>43103</v>
      </c>
      <c r="AR136" s="9">
        <v>7065.5297849999997</v>
      </c>
      <c r="AS136" s="11">
        <f t="shared" si="66"/>
        <v>8.3674497737957852E-3</v>
      </c>
      <c r="AT136" s="9">
        <f t="shared" si="48"/>
        <v>115.06590550404378</v>
      </c>
      <c r="AU136" s="9">
        <f t="shared" si="49"/>
        <v>1</v>
      </c>
      <c r="AV136" s="9">
        <f t="shared" si="67"/>
        <v>-100.10783661853588</v>
      </c>
      <c r="AW136" s="9"/>
      <c r="AX136" s="10">
        <v>43292</v>
      </c>
      <c r="AY136" s="9">
        <v>7716.6098629999997</v>
      </c>
      <c r="AZ136" s="11">
        <f t="shared" si="68"/>
        <v>-5.4890105848081766E-3</v>
      </c>
      <c r="BA136" s="9">
        <f t="shared" si="50"/>
        <v>108.12786271263131</v>
      </c>
      <c r="BB136" s="9">
        <f t="shared" si="51"/>
        <v>0.99999999999999956</v>
      </c>
      <c r="BC136" s="9">
        <f t="shared" si="69"/>
        <v>-99.973947322283223</v>
      </c>
      <c r="BD136" s="9"/>
      <c r="BE136" s="10">
        <v>43481</v>
      </c>
      <c r="BF136" s="9">
        <v>7034.6899409999996</v>
      </c>
      <c r="BG136" s="11">
        <f t="shared" si="70"/>
        <v>1.5461454618634464E-3</v>
      </c>
      <c r="BH136" s="9">
        <f t="shared" si="52"/>
        <v>89.888933513474171</v>
      </c>
      <c r="BI136" s="9">
        <f t="shared" si="53"/>
        <v>9.8545242927416844E-18</v>
      </c>
      <c r="BJ136" s="9">
        <f t="shared" si="71"/>
        <v>0.46941705295473551</v>
      </c>
    </row>
    <row r="137" spans="1:62" x14ac:dyDescent="0.3">
      <c r="A137" s="10">
        <v>41971</v>
      </c>
      <c r="B137" s="9">
        <v>4791.6298829999996</v>
      </c>
      <c r="C137" s="11">
        <f t="shared" si="54"/>
        <v>9.0030730313694104E-4</v>
      </c>
      <c r="D137" s="9">
        <f t="shared" ref="D137" si="72">B137/B$8*100</f>
        <v>113.40920869050566</v>
      </c>
      <c r="E137" s="9"/>
      <c r="F137" s="9">
        <f>F136*EXP(E$3*(A137-A136)/365)-MAX(D137-E$2,0)+E136*D137</f>
        <v>-0.4493642697904221</v>
      </c>
      <c r="G137" s="9"/>
      <c r="H137" s="10">
        <v>42163</v>
      </c>
      <c r="I137" s="9">
        <v>5021.6298829999996</v>
      </c>
      <c r="J137" s="11">
        <f t="shared" si="56"/>
        <v>-9.2395083240946526E-3</v>
      </c>
      <c r="K137" s="9">
        <f t="shared" ref="K137" si="73">I137/I$8*100</f>
        <v>106.22504741344419</v>
      </c>
      <c r="L137" s="9"/>
      <c r="M137" s="9">
        <f>M136*EXP(L$3*(H137-H136)/365)-MAX(K137-L$2,0)+L136*K137</f>
        <v>-0.1047817385680645</v>
      </c>
      <c r="N137" s="9"/>
      <c r="O137" s="10">
        <v>42348</v>
      </c>
      <c r="P137" s="9">
        <v>5045.169922</v>
      </c>
      <c r="Q137" s="11">
        <f t="shared" si="58"/>
        <v>4.4396539190861284E-3</v>
      </c>
      <c r="R137" s="9">
        <f t="shared" ref="R137" si="74">P137/P$8*100</f>
        <v>100.62426437601314</v>
      </c>
      <c r="S137" s="9"/>
      <c r="T137" s="9">
        <f>T136*EXP(S$3*(O137-O136)/365)-MAX(R137-S$2,0)+S136*R137</f>
        <v>0.65371195504331325</v>
      </c>
      <c r="U137" s="9"/>
      <c r="V137" s="10">
        <v>42538</v>
      </c>
      <c r="W137" s="9">
        <v>4800.3398440000001</v>
      </c>
      <c r="X137" s="11">
        <f t="shared" si="60"/>
        <v>-9.2014065697079966E-3</v>
      </c>
      <c r="Y137" s="9">
        <f t="shared" ref="Y137" si="75">W137/W$8*100</f>
        <v>97.301486272376323</v>
      </c>
      <c r="Z137" s="9"/>
      <c r="AA137" s="9">
        <f>AA136*EXP(Z$3*(V137-V136)/365)-MAX(Y137-Z$2,0)+Z136*Y137</f>
        <v>1.0774494924266158</v>
      </c>
      <c r="AB137" s="9"/>
      <c r="AC137" s="10">
        <v>42725</v>
      </c>
      <c r="AD137" s="9">
        <v>5471.4301759999998</v>
      </c>
      <c r="AE137" s="11">
        <f t="shared" si="62"/>
        <v>-2.2811637498930423E-3</v>
      </c>
      <c r="AF137" s="9">
        <f t="shared" ref="AF137" si="76">AD137/AD$8*100</f>
        <v>113.11128150552487</v>
      </c>
      <c r="AG137" s="9"/>
      <c r="AH137" s="9">
        <f>AH136*EXP(AG$3*(AC137-AC136)/365)-MAX(AF137-AG$2,0)+AG136*AF137</f>
        <v>-0.36260108247606126</v>
      </c>
      <c r="AI137" s="9"/>
      <c r="AJ137" s="10">
        <v>42915</v>
      </c>
      <c r="AK137" s="9">
        <v>6144.3500979999999</v>
      </c>
      <c r="AL137" s="11">
        <f t="shared" si="64"/>
        <v>-1.4445642129163763E-2</v>
      </c>
      <c r="AM137" s="9">
        <f t="shared" ref="AM137" si="77">AK137/AK$8*100</f>
        <v>112.79376633303724</v>
      </c>
      <c r="AN137" s="9"/>
      <c r="AO137" s="9">
        <f>AO136*EXP(AN$3*(AJ137-AJ136)/365)-MAX(AM137-AN$2,0)+AN136*AM137</f>
        <v>0.19698659876401337</v>
      </c>
      <c r="AP137" s="9"/>
      <c r="AQ137" s="10">
        <v>43104</v>
      </c>
      <c r="AR137" s="9">
        <v>7077.9101559999999</v>
      </c>
      <c r="AS137" s="11">
        <f t="shared" si="66"/>
        <v>1.752221188888555E-3</v>
      </c>
      <c r="AT137" s="9">
        <f t="shared" ref="AT137" si="78">AR137/AR$8*100</f>
        <v>115.26752642178664</v>
      </c>
      <c r="AU137" s="9"/>
      <c r="AV137" s="9">
        <f>AV136*EXP(AU$3*(AQ137-AQ136)/365)-MAX(AT137-AU$2,0)+AU136*AT137</f>
        <v>-0.11195072375465998</v>
      </c>
      <c r="AW137" s="9"/>
      <c r="AX137" s="10">
        <v>43293</v>
      </c>
      <c r="AY137" s="9">
        <v>7823.919922</v>
      </c>
      <c r="AZ137" s="11">
        <f t="shared" si="68"/>
        <v>1.3906373511836614E-2</v>
      </c>
      <c r="BA137" s="9">
        <f t="shared" ref="BA137" si="79">AY137/AY$8*100</f>
        <v>109.63152915854974</v>
      </c>
      <c r="BB137" s="9"/>
      <c r="BC137" s="9">
        <f>BC136*EXP(BB$3*(AX137-AX136)/365)-MAX(BA137-BB$2,0)+BB136*BA137</f>
        <v>2.1944074910877021E-2</v>
      </c>
      <c r="BD137" s="9"/>
      <c r="BE137" s="10">
        <v>43482</v>
      </c>
      <c r="BF137" s="9">
        <v>7084.4599609999996</v>
      </c>
      <c r="BG137" s="11">
        <f t="shared" si="70"/>
        <v>7.074941527973725E-3</v>
      </c>
      <c r="BH137" s="9">
        <f t="shared" ref="BH137" si="80">BF137/BF$8*100</f>
        <v>90.524892462093916</v>
      </c>
      <c r="BI137" s="9"/>
      <c r="BJ137" s="9">
        <f>BJ136*EXP(BI$3*(BE137-BE136)/365)-MAX(BH137-BI$2,0)+BI136*BH137</f>
        <v>0.46943634446289978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139"/>
  <sheetViews>
    <sheetView zoomScaleNormal="100" workbookViewId="0"/>
  </sheetViews>
  <sheetFormatPr baseColWidth="10" defaultColWidth="11.44140625" defaultRowHeight="14.4" x14ac:dyDescent="0.3"/>
  <cols>
    <col min="1" max="9" width="11.44140625" style="3"/>
    <col min="10" max="10" width="19.33203125" style="3" customWidth="1"/>
    <col min="11" max="11" width="17.5546875" style="3" customWidth="1"/>
    <col min="12" max="12" width="13.109375" style="3" customWidth="1"/>
    <col min="13" max="13" width="13.88671875" style="3" customWidth="1"/>
    <col min="14" max="16384" width="11.44140625" style="3"/>
  </cols>
  <sheetData>
    <row r="1" spans="1:13" x14ac:dyDescent="0.3">
      <c r="A1" s="1" t="s">
        <v>3</v>
      </c>
      <c r="B1" s="2">
        <f>A8</f>
        <v>41787</v>
      </c>
      <c r="D1" s="1" t="s">
        <v>0</v>
      </c>
      <c r="E1" s="3">
        <f>(B2-B1)/365</f>
        <v>0.50410958904109593</v>
      </c>
    </row>
    <row r="2" spans="1:13" x14ac:dyDescent="0.3">
      <c r="A2" s="1" t="s">
        <v>4</v>
      </c>
      <c r="B2" s="2">
        <f>A137</f>
        <v>41971</v>
      </c>
      <c r="D2" s="1" t="s">
        <v>1</v>
      </c>
      <c r="E2" s="3">
        <v>100</v>
      </c>
    </row>
    <row r="3" spans="1:13" x14ac:dyDescent="0.3">
      <c r="A3" s="1" t="s">
        <v>5</v>
      </c>
      <c r="B3" s="4">
        <f>_xlfn.STDEV.P(C9:C137)*SQRT(255)</f>
        <v>0.12475693332132674</v>
      </c>
      <c r="D3" s="1" t="s">
        <v>2</v>
      </c>
      <c r="E3" s="5">
        <v>1.4999999999999999E-2</v>
      </c>
    </row>
    <row r="4" spans="1:13" x14ac:dyDescent="0.3">
      <c r="A4" s="1" t="s">
        <v>6</v>
      </c>
      <c r="B4" s="4">
        <f>B3</f>
        <v>0.12475693332132674</v>
      </c>
      <c r="D4" s="1" t="s">
        <v>7</v>
      </c>
      <c r="E4" s="3">
        <f>BScall(E1,E2,D8,B4,E3)</f>
        <v>3.9087643295938475</v>
      </c>
    </row>
    <row r="5" spans="1:13" x14ac:dyDescent="0.3">
      <c r="A5" s="1" t="s">
        <v>8</v>
      </c>
      <c r="B5" s="6">
        <f>F137</f>
        <v>-0.4493642697904221</v>
      </c>
    </row>
    <row r="7" spans="1:13" x14ac:dyDescent="0.3">
      <c r="A7" s="7" t="s">
        <v>9</v>
      </c>
      <c r="B7" s="7" t="s">
        <v>10</v>
      </c>
      <c r="C7" s="7" t="s">
        <v>11</v>
      </c>
      <c r="D7" s="7" t="s">
        <v>12</v>
      </c>
      <c r="E7" s="7" t="s">
        <v>13</v>
      </c>
      <c r="F7" s="7" t="s">
        <v>14</v>
      </c>
      <c r="G7" s="12"/>
      <c r="H7" s="7" t="s">
        <v>15</v>
      </c>
      <c r="I7" s="7" t="s">
        <v>14</v>
      </c>
      <c r="J7" s="7" t="s">
        <v>20</v>
      </c>
      <c r="K7" s="7" t="s">
        <v>19</v>
      </c>
      <c r="L7" s="7" t="s">
        <v>16</v>
      </c>
      <c r="M7" s="7" t="s">
        <v>18</v>
      </c>
    </row>
    <row r="8" spans="1:13" x14ac:dyDescent="0.3">
      <c r="A8" s="10">
        <v>41787</v>
      </c>
      <c r="B8" s="9">
        <v>4225.080078</v>
      </c>
      <c r="C8" s="9"/>
      <c r="D8" s="9">
        <f>B8/B$8*100</f>
        <v>100</v>
      </c>
      <c r="E8" s="9">
        <f>Bscall_delta((B$2-A8)/365,E$2,D8,B$4,E$3)</f>
        <v>0.55158067909108444</v>
      </c>
      <c r="F8" s="9">
        <f>E$4-E8*D8</f>
        <v>-51.249303579514596</v>
      </c>
      <c r="G8" s="9"/>
      <c r="H8" s="9">
        <f>BScall(($A$137-A8)/365,$E$2,D8,$B$4,$E$3)</f>
        <v>3.9087643295938475</v>
      </c>
      <c r="I8" s="9">
        <f>H8-E8*D8</f>
        <v>-51.249303579514596</v>
      </c>
      <c r="J8" s="9"/>
      <c r="K8" s="9"/>
      <c r="L8" s="9"/>
      <c r="M8" s="9"/>
    </row>
    <row r="9" spans="1:13" x14ac:dyDescent="0.3">
      <c r="A9" s="10">
        <v>41788</v>
      </c>
      <c r="B9" s="9">
        <v>4247.9501950000003</v>
      </c>
      <c r="C9" s="11">
        <f>(B9-B8)/B8</f>
        <v>5.4129428502633914E-3</v>
      </c>
      <c r="D9" s="9">
        <f t="shared" ref="D9:D72" si="0">B9/B$8*100</f>
        <v>100.54129428502634</v>
      </c>
      <c r="E9" s="9">
        <f t="shared" ref="E9:E72" si="1">Bscall_delta((B$2-A9)/365,E$2,D9,B$4,E$3)</f>
        <v>0.57550755048371061</v>
      </c>
      <c r="F9" s="9">
        <f>F8*EXP(E$3*(A9-A8)/365)-(E9-E8)*D9</f>
        <v>-53.657048376561498</v>
      </c>
      <c r="G9" s="9"/>
      <c r="H9" s="9">
        <f>BScall(($A$137-A9)/365,$E$2,D9,$B$4,$E$3)</f>
        <v>4.202144710302556</v>
      </c>
      <c r="I9" s="9">
        <f t="shared" ref="I9:I72" si="2">H9-E9*D9</f>
        <v>-53.660129286134847</v>
      </c>
      <c r="J9" s="9">
        <f t="shared" ref="J9:J40" si="3">-(H9-H8)</f>
        <v>-0.29338038070870853</v>
      </c>
      <c r="K9" s="9">
        <f>E8*(D9-D8)+I8*(EXP(E$3*(A9-A8)/365)-1)</f>
        <v>0.29646129028205975</v>
      </c>
      <c r="L9" s="9">
        <f t="shared" ref="L9:L40" si="4">K9+J9</f>
        <v>3.0809095733512204E-3</v>
      </c>
      <c r="M9" s="9">
        <f t="shared" ref="M9:M40" si="5">L9*EXP($E$3*($A$137-A9)/365)</f>
        <v>3.1041670463654086E-3</v>
      </c>
    </row>
    <row r="10" spans="1:13" x14ac:dyDescent="0.3">
      <c r="A10" s="10">
        <v>41789</v>
      </c>
      <c r="B10" s="9">
        <v>4242.6201170000004</v>
      </c>
      <c r="C10" s="11">
        <f t="shared" ref="C10:C73" si="6">(B10-B9)/B9</f>
        <v>-1.2547411705235299E-3</v>
      </c>
      <c r="D10" s="9">
        <f t="shared" si="0"/>
        <v>100.4151409837492</v>
      </c>
      <c r="E10" s="9">
        <f t="shared" si="1"/>
        <v>0.56984350925289928</v>
      </c>
      <c r="F10" s="9">
        <f t="shared" ref="F10:F73" si="7">F9*EXP(E$3*(A10-A9)/365)-(E10-E9)*D10</f>
        <v>-53.090498007322232</v>
      </c>
      <c r="G10" s="9"/>
      <c r="H10" s="9">
        <f>BScall(($A$137-A10)/365,$E$2,D10,$B$4,$E$3)</f>
        <v>4.1181786683686203</v>
      </c>
      <c r="I10" s="9">
        <f t="shared" si="2"/>
        <v>-53.102737651935648</v>
      </c>
      <c r="J10" s="9">
        <f t="shared" si="3"/>
        <v>8.3966041933935642E-2</v>
      </c>
      <c r="K10" s="9">
        <f t="shared" ref="K10:K73" si="8">E9*(D10-D9)+I9*(EXP(E$3*(A10-A9)/365)-1)</f>
        <v>-7.4807433509188212E-2</v>
      </c>
      <c r="L10" s="9">
        <f t="shared" si="4"/>
        <v>9.1586084247474303E-3</v>
      </c>
      <c r="M10" s="9">
        <f t="shared" si="5"/>
        <v>9.227366613597323E-3</v>
      </c>
    </row>
    <row r="11" spans="1:13" x14ac:dyDescent="0.3">
      <c r="A11" s="10">
        <v>41792</v>
      </c>
      <c r="B11" s="9">
        <v>4237.2001950000003</v>
      </c>
      <c r="C11" s="11">
        <f t="shared" si="6"/>
        <v>-1.2774940603997617E-3</v>
      </c>
      <c r="D11" s="9">
        <f t="shared" si="0"/>
        <v>100.28686123756825</v>
      </c>
      <c r="E11" s="9">
        <f t="shared" si="1"/>
        <v>0.56382311362447624</v>
      </c>
      <c r="F11" s="9">
        <f t="shared" si="7"/>
        <v>-52.493277233703608</v>
      </c>
      <c r="G11" s="9"/>
      <c r="H11" s="9">
        <f t="shared" ref="H11:H74" si="9">BScall(($A$137-A11)/365,$E$2,D11,$B$4,$E$3)</f>
        <v>4.0101750029080758</v>
      </c>
      <c r="I11" s="9">
        <f t="shared" si="2"/>
        <v>-52.533875355683442</v>
      </c>
      <c r="J11" s="9">
        <f t="shared" si="3"/>
        <v>0.10800366546054452</v>
      </c>
      <c r="K11" s="9">
        <f t="shared" si="8"/>
        <v>-7.9646697184433554E-2</v>
      </c>
      <c r="L11" s="9">
        <f t="shared" si="4"/>
        <v>2.8356968276110964E-2</v>
      </c>
      <c r="M11" s="9">
        <f t="shared" si="5"/>
        <v>2.8566335923456917E-2</v>
      </c>
    </row>
    <row r="12" spans="1:13" x14ac:dyDescent="0.3">
      <c r="A12" s="10">
        <v>41793</v>
      </c>
      <c r="B12" s="9">
        <v>4234.080078</v>
      </c>
      <c r="C12" s="11">
        <f t="shared" si="6"/>
        <v>-7.3636289446087663E-4</v>
      </c>
      <c r="D12" s="9">
        <f t="shared" si="0"/>
        <v>100.21301371415096</v>
      </c>
      <c r="E12" s="9">
        <f t="shared" si="1"/>
        <v>0.56038621726314619</v>
      </c>
      <c r="F12" s="9">
        <f t="shared" si="7"/>
        <v>-52.151012793807851</v>
      </c>
      <c r="G12" s="9"/>
      <c r="H12" s="9">
        <f t="shared" si="9"/>
        <v>3.9568576108209061</v>
      </c>
      <c r="I12" s="9">
        <f t="shared" si="2"/>
        <v>-52.201134064991948</v>
      </c>
      <c r="J12" s="9">
        <f t="shared" si="3"/>
        <v>5.3317392087169679E-2</v>
      </c>
      <c r="K12" s="9">
        <f t="shared" si="8"/>
        <v>-4.3795911333173565E-2</v>
      </c>
      <c r="L12" s="9">
        <f t="shared" si="4"/>
        <v>9.5214807539961144E-3</v>
      </c>
      <c r="M12" s="9">
        <f t="shared" si="5"/>
        <v>9.591386408471075E-3</v>
      </c>
    </row>
    <row r="13" spans="1:13" x14ac:dyDescent="0.3">
      <c r="A13" s="10">
        <v>41794</v>
      </c>
      <c r="B13" s="9">
        <v>4251.6401370000003</v>
      </c>
      <c r="C13" s="11">
        <f t="shared" si="6"/>
        <v>4.1473138619274753E-3</v>
      </c>
      <c r="D13" s="9">
        <f t="shared" si="0"/>
        <v>100.62862853507319</v>
      </c>
      <c r="E13" s="9">
        <f t="shared" si="1"/>
        <v>0.57898506201722388</v>
      </c>
      <c r="F13" s="9">
        <f t="shared" si="7"/>
        <v>-54.024732270092819</v>
      </c>
      <c r="G13" s="9"/>
      <c r="H13" s="9">
        <f t="shared" si="9"/>
        <v>4.1817810468267576</v>
      </c>
      <c r="I13" s="9">
        <f t="shared" si="2"/>
        <v>-54.080691686260778</v>
      </c>
      <c r="J13" s="9">
        <f t="shared" si="3"/>
        <v>-0.22492343600585141</v>
      </c>
      <c r="K13" s="9">
        <f t="shared" si="8"/>
        <v>0.23075952116912474</v>
      </c>
      <c r="L13" s="9">
        <f t="shared" si="4"/>
        <v>5.8360851632733302E-3</v>
      </c>
      <c r="M13" s="9">
        <f t="shared" si="5"/>
        <v>5.8786914575062214E-3</v>
      </c>
    </row>
    <row r="14" spans="1:13" x14ac:dyDescent="0.3">
      <c r="A14" s="10">
        <v>41795</v>
      </c>
      <c r="B14" s="9">
        <v>4296.2299800000001</v>
      </c>
      <c r="C14" s="11">
        <f t="shared" si="6"/>
        <v>1.04876804158366E-2</v>
      </c>
      <c r="D14" s="9">
        <f t="shared" si="0"/>
        <v>101.68398943183297</v>
      </c>
      <c r="E14" s="9">
        <f t="shared" si="1"/>
        <v>0.62535410781310985</v>
      </c>
      <c r="F14" s="9">
        <f t="shared" si="7"/>
        <v>-58.741942072863772</v>
      </c>
      <c r="G14" s="9"/>
      <c r="H14" s="9">
        <f t="shared" si="9"/>
        <v>4.8055304477704706</v>
      </c>
      <c r="I14" s="9">
        <f t="shared" si="2"/>
        <v>-58.782970042251122</v>
      </c>
      <c r="J14" s="9">
        <f t="shared" si="3"/>
        <v>-0.62374940094371301</v>
      </c>
      <c r="K14" s="9">
        <f t="shared" si="8"/>
        <v>0.60881565441381813</v>
      </c>
      <c r="L14" s="9">
        <f t="shared" si="4"/>
        <v>-1.4933746529894876E-2</v>
      </c>
      <c r="M14" s="9">
        <f t="shared" si="5"/>
        <v>-1.504215204666965E-2</v>
      </c>
    </row>
    <row r="15" spans="1:13" x14ac:dyDescent="0.3">
      <c r="A15" s="10">
        <v>41796</v>
      </c>
      <c r="B15" s="9">
        <v>4321.3999020000001</v>
      </c>
      <c r="C15" s="11">
        <f t="shared" si="6"/>
        <v>5.8586067592219637E-3</v>
      </c>
      <c r="D15" s="9">
        <f t="shared" si="0"/>
        <v>102.27971593962295</v>
      </c>
      <c r="E15" s="9">
        <f t="shared" si="1"/>
        <v>0.65076423379062498</v>
      </c>
      <c r="F15" s="9">
        <f t="shared" si="7"/>
        <v>-61.343296641852497</v>
      </c>
      <c r="G15" s="9"/>
      <c r="H15" s="9">
        <f t="shared" si="9"/>
        <v>5.1737818728752778</v>
      </c>
      <c r="I15" s="9">
        <f t="shared" si="2"/>
        <v>-61.386199102896214</v>
      </c>
      <c r="J15" s="9">
        <f t="shared" si="3"/>
        <v>-0.36825142510480724</v>
      </c>
      <c r="K15" s="9">
        <f t="shared" si="8"/>
        <v>0.37012423064559719</v>
      </c>
      <c r="L15" s="9">
        <f t="shared" si="4"/>
        <v>1.8728055407899458E-3</v>
      </c>
      <c r="M15" s="9">
        <f t="shared" si="5"/>
        <v>1.8863228964292249E-3</v>
      </c>
    </row>
    <row r="16" spans="1:13" x14ac:dyDescent="0.3">
      <c r="A16" s="10">
        <v>41799</v>
      </c>
      <c r="B16" s="9">
        <v>4336.2402339999999</v>
      </c>
      <c r="C16" s="11">
        <f t="shared" si="6"/>
        <v>3.4341491962202948E-3</v>
      </c>
      <c r="D16" s="9">
        <f t="shared" si="0"/>
        <v>102.63095974390666</v>
      </c>
      <c r="E16" s="9">
        <f t="shared" si="1"/>
        <v>0.6658900788217833</v>
      </c>
      <c r="F16" s="9">
        <f t="shared" si="7"/>
        <v>-62.903239972750214</v>
      </c>
      <c r="G16" s="9"/>
      <c r="H16" s="9">
        <f t="shared" si="9"/>
        <v>5.3693836216096615</v>
      </c>
      <c r="I16" s="9">
        <f t="shared" si="2"/>
        <v>-62.971554251815611</v>
      </c>
      <c r="J16" s="9">
        <f t="shared" si="3"/>
        <v>-0.19560174873438374</v>
      </c>
      <c r="K16" s="9">
        <f t="shared" si="8"/>
        <v>0.22100827708547505</v>
      </c>
      <c r="L16" s="9">
        <f t="shared" si="4"/>
        <v>2.5406528351091306E-2</v>
      </c>
      <c r="M16" s="9">
        <f t="shared" si="5"/>
        <v>2.5586750421581182E-2</v>
      </c>
    </row>
    <row r="17" spans="1:13" x14ac:dyDescent="0.3">
      <c r="A17" s="10">
        <v>41800</v>
      </c>
      <c r="B17" s="9">
        <v>4338</v>
      </c>
      <c r="C17" s="11">
        <f t="shared" si="6"/>
        <v>4.0582760756703199E-4</v>
      </c>
      <c r="D17" s="9">
        <f t="shared" si="0"/>
        <v>102.67261022076184</v>
      </c>
      <c r="E17" s="9">
        <f t="shared" si="1"/>
        <v>0.66780655798866873</v>
      </c>
      <c r="F17" s="9">
        <f t="shared" si="7"/>
        <v>-63.102595009022949</v>
      </c>
      <c r="G17" s="9"/>
      <c r="H17" s="9">
        <f t="shared" si="9"/>
        <v>5.3852623514527682</v>
      </c>
      <c r="I17" s="9">
        <f t="shared" si="2"/>
        <v>-63.18018007978641</v>
      </c>
      <c r="J17" s="9">
        <f t="shared" si="3"/>
        <v>-1.5878729843106676E-2</v>
      </c>
      <c r="K17" s="9">
        <f t="shared" si="8"/>
        <v>2.5146714047345711E-2</v>
      </c>
      <c r="L17" s="9">
        <f t="shared" si="4"/>
        <v>9.2679842042390354E-3</v>
      </c>
      <c r="M17" s="9">
        <f t="shared" si="5"/>
        <v>9.33334339456535E-3</v>
      </c>
    </row>
    <row r="18" spans="1:13" x14ac:dyDescent="0.3">
      <c r="A18" s="10">
        <v>41801</v>
      </c>
      <c r="B18" s="9">
        <v>4331.9301759999998</v>
      </c>
      <c r="C18" s="11">
        <f t="shared" si="6"/>
        <v>-1.3992217611803028E-3</v>
      </c>
      <c r="D18" s="9">
        <f t="shared" si="0"/>
        <v>102.52894847026377</v>
      </c>
      <c r="E18" s="9">
        <f t="shared" si="1"/>
        <v>0.66201182527432789</v>
      </c>
      <c r="F18" s="9">
        <f t="shared" si="7"/>
        <v>-62.511060467771316</v>
      </c>
      <c r="G18" s="9"/>
      <c r="H18" s="9">
        <f t="shared" si="9"/>
        <v>5.2778074637687915</v>
      </c>
      <c r="I18" s="9">
        <f t="shared" si="2"/>
        <v>-62.597568856488039</v>
      </c>
      <c r="J18" s="9">
        <f t="shared" si="3"/>
        <v>0.10745488768397671</v>
      </c>
      <c r="K18" s="9">
        <f t="shared" si="8"/>
        <v>-9.8534758223795149E-2</v>
      </c>
      <c r="L18" s="9">
        <f t="shared" si="4"/>
        <v>8.9201294601815584E-3</v>
      </c>
      <c r="M18" s="9">
        <f t="shared" si="5"/>
        <v>8.9826663693352553E-3</v>
      </c>
    </row>
    <row r="19" spans="1:13" x14ac:dyDescent="0.3">
      <c r="A19" s="10">
        <v>41802</v>
      </c>
      <c r="B19" s="9">
        <v>4297.6298829999996</v>
      </c>
      <c r="C19" s="11">
        <f t="shared" si="6"/>
        <v>-7.918016128245239E-3</v>
      </c>
      <c r="D19" s="9">
        <f t="shared" si="0"/>
        <v>101.71712260266419</v>
      </c>
      <c r="E19" s="9">
        <f t="shared" si="1"/>
        <v>0.62733965412811044</v>
      </c>
      <c r="F19" s="9">
        <f t="shared" si="7"/>
        <v>-58.986875984868732</v>
      </c>
      <c r="G19" s="9"/>
      <c r="H19" s="9">
        <f t="shared" si="9"/>
        <v>4.7422959949906422</v>
      </c>
      <c r="I19" s="9">
        <f t="shared" si="2"/>
        <v>-59.068888517471315</v>
      </c>
      <c r="J19" s="9">
        <f t="shared" si="3"/>
        <v>0.53551146877814926</v>
      </c>
      <c r="K19" s="9">
        <f t="shared" si="8"/>
        <v>-0.54001088010459652</v>
      </c>
      <c r="L19" s="9">
        <f t="shared" si="4"/>
        <v>-4.4994113264472668E-3</v>
      </c>
      <c r="M19" s="9">
        <f t="shared" si="5"/>
        <v>-4.5307694308365214E-3</v>
      </c>
    </row>
    <row r="20" spans="1:13" x14ac:dyDescent="0.3">
      <c r="A20" s="10">
        <v>41803</v>
      </c>
      <c r="B20" s="9">
        <v>4310.6499020000001</v>
      </c>
      <c r="C20" s="11">
        <f t="shared" si="6"/>
        <v>3.0295812702493029E-3</v>
      </c>
      <c r="D20" s="9">
        <f t="shared" si="0"/>
        <v>102.02528289216485</v>
      </c>
      <c r="E20" s="9">
        <f t="shared" si="1"/>
        <v>0.64086924178284455</v>
      </c>
      <c r="F20" s="9">
        <f t="shared" si="7"/>
        <v>-60.369660160759807</v>
      </c>
      <c r="G20" s="9"/>
      <c r="H20" s="9">
        <f t="shared" si="9"/>
        <v>4.9256104110002692</v>
      </c>
      <c r="I20" s="9">
        <f t="shared" si="2"/>
        <v>-60.459255278781633</v>
      </c>
      <c r="J20" s="9">
        <f t="shared" si="3"/>
        <v>-0.18331441600962695</v>
      </c>
      <c r="K20" s="9">
        <f t="shared" si="8"/>
        <v>0.19089363098157369</v>
      </c>
      <c r="L20" s="9">
        <f t="shared" si="4"/>
        <v>7.5792149719467461E-3</v>
      </c>
      <c r="M20" s="9">
        <f t="shared" si="5"/>
        <v>7.6317237573396658E-3</v>
      </c>
    </row>
    <row r="21" spans="1:13" x14ac:dyDescent="0.3">
      <c r="A21" s="10">
        <v>41806</v>
      </c>
      <c r="B21" s="9">
        <v>4321.1000979999999</v>
      </c>
      <c r="C21" s="11">
        <f t="shared" si="6"/>
        <v>2.4242738885269319E-3</v>
      </c>
      <c r="D21" s="9">
        <f t="shared" si="0"/>
        <v>102.2726201214499</v>
      </c>
      <c r="E21" s="9">
        <f t="shared" si="1"/>
        <v>0.65198404082674744</v>
      </c>
      <c r="F21" s="9">
        <f t="shared" si="7"/>
        <v>-61.513843074741231</v>
      </c>
      <c r="G21" s="9"/>
      <c r="H21" s="9">
        <f t="shared" si="9"/>
        <v>5.0491425379018766</v>
      </c>
      <c r="I21" s="9">
        <f t="shared" si="2"/>
        <v>-61.630973594819942</v>
      </c>
      <c r="J21" s="9">
        <f t="shared" si="3"/>
        <v>-0.12353212690160742</v>
      </c>
      <c r="K21" s="9">
        <f t="shared" si="8"/>
        <v>0.15105648230409335</v>
      </c>
      <c r="L21" s="9">
        <f t="shared" si="4"/>
        <v>2.7524355402485934E-2</v>
      </c>
      <c r="M21" s="9">
        <f t="shared" si="5"/>
        <v>2.7711627366234736E-2</v>
      </c>
    </row>
    <row r="22" spans="1:13" x14ac:dyDescent="0.3">
      <c r="A22" s="10">
        <v>41807</v>
      </c>
      <c r="B22" s="9">
        <v>4337.2299800000001</v>
      </c>
      <c r="C22" s="11">
        <f t="shared" si="6"/>
        <v>3.7328184106324722E-3</v>
      </c>
      <c r="D22" s="9">
        <f t="shared" si="0"/>
        <v>102.65438524074288</v>
      </c>
      <c r="E22" s="9">
        <f t="shared" si="1"/>
        <v>0.66846536094330533</v>
      </c>
      <c r="F22" s="9">
        <f t="shared" si="7"/>
        <v>-63.208250877361344</v>
      </c>
      <c r="G22" s="9"/>
      <c r="H22" s="9">
        <f t="shared" si="9"/>
        <v>5.2890800359937176</v>
      </c>
      <c r="I22" s="9">
        <f t="shared" si="2"/>
        <v>-63.331820646372591</v>
      </c>
      <c r="J22" s="9">
        <f t="shared" si="3"/>
        <v>-0.23993749809184095</v>
      </c>
      <c r="K22" s="9">
        <f t="shared" si="8"/>
        <v>0.24637193334244245</v>
      </c>
      <c r="L22" s="9">
        <f t="shared" si="4"/>
        <v>6.4344352506015001E-3</v>
      </c>
      <c r="M22" s="9">
        <f t="shared" si="5"/>
        <v>6.4779480487908393E-3</v>
      </c>
    </row>
    <row r="23" spans="1:13" x14ac:dyDescent="0.3">
      <c r="A23" s="10">
        <v>41808</v>
      </c>
      <c r="B23" s="9">
        <v>4362.8398440000001</v>
      </c>
      <c r="C23" s="11">
        <f t="shared" si="6"/>
        <v>5.9046589915898381E-3</v>
      </c>
      <c r="D23" s="9">
        <f t="shared" si="0"/>
        <v>103.26052437958077</v>
      </c>
      <c r="E23" s="9">
        <f t="shared" si="1"/>
        <v>0.69388095739754874</v>
      </c>
      <c r="F23" s="9">
        <f t="shared" si="7"/>
        <v>-65.835276347373508</v>
      </c>
      <c r="G23" s="9"/>
      <c r="H23" s="9">
        <f t="shared" si="9"/>
        <v>5.6899674541044005</v>
      </c>
      <c r="I23" s="9">
        <f t="shared" si="2"/>
        <v>-65.960544063772019</v>
      </c>
      <c r="J23" s="9">
        <f t="shared" si="3"/>
        <v>-0.40088741811068296</v>
      </c>
      <c r="K23" s="9">
        <f t="shared" si="8"/>
        <v>0.4025802871839223</v>
      </c>
      <c r="L23" s="9">
        <f t="shared" si="4"/>
        <v>1.6928690732393448E-3</v>
      </c>
      <c r="M23" s="9">
        <f t="shared" si="5"/>
        <v>1.7042470428908672E-3</v>
      </c>
    </row>
    <row r="24" spans="1:13" x14ac:dyDescent="0.3">
      <c r="A24" s="10">
        <v>41809</v>
      </c>
      <c r="B24" s="9">
        <v>4359.330078</v>
      </c>
      <c r="C24" s="11">
        <f t="shared" si="6"/>
        <v>-8.0446821920977373E-4</v>
      </c>
      <c r="D24" s="9">
        <f t="shared" si="0"/>
        <v>103.17745456941847</v>
      </c>
      <c r="E24" s="9">
        <f t="shared" si="1"/>
        <v>0.69076130685354487</v>
      </c>
      <c r="F24" s="9">
        <f t="shared" si="7"/>
        <v>-65.516104359993477</v>
      </c>
      <c r="G24" s="9"/>
      <c r="H24" s="9">
        <f t="shared" si="9"/>
        <v>5.6204555697090894</v>
      </c>
      <c r="I24" s="9">
        <f t="shared" si="2"/>
        <v>-65.650537786484662</v>
      </c>
      <c r="J24" s="9">
        <f t="shared" si="3"/>
        <v>6.9511884395311085E-2</v>
      </c>
      <c r="K24" s="9">
        <f t="shared" si="8"/>
        <v>-6.0351322396762261E-2</v>
      </c>
      <c r="L24" s="9">
        <f t="shared" si="4"/>
        <v>9.1605619985488246E-3</v>
      </c>
      <c r="M24" s="9">
        <f t="shared" si="5"/>
        <v>9.2217522157455236E-3</v>
      </c>
    </row>
    <row r="25" spans="1:13" x14ac:dyDescent="0.3">
      <c r="A25" s="10">
        <v>41810</v>
      </c>
      <c r="B25" s="9">
        <v>4368.0400390000004</v>
      </c>
      <c r="C25" s="11">
        <f t="shared" si="6"/>
        <v>1.9980044741178407E-3</v>
      </c>
      <c r="D25" s="9">
        <f t="shared" si="0"/>
        <v>103.38360358527625</v>
      </c>
      <c r="E25" s="9">
        <f t="shared" si="1"/>
        <v>0.69947462522051795</v>
      </c>
      <c r="F25" s="9">
        <f t="shared" si="7"/>
        <v>-66.419611109926777</v>
      </c>
      <c r="G25" s="9"/>
      <c r="H25" s="9">
        <f t="shared" si="9"/>
        <v>5.7517452392092707</v>
      </c>
      <c r="I25" s="9">
        <f t="shared" si="2"/>
        <v>-66.562462132548433</v>
      </c>
      <c r="J25" s="9">
        <f t="shared" si="3"/>
        <v>-0.13128966950018128</v>
      </c>
      <c r="K25" s="9">
        <f t="shared" si="8"/>
        <v>0.13970174085575834</v>
      </c>
      <c r="L25" s="9">
        <f t="shared" si="4"/>
        <v>8.412071355577061E-3</v>
      </c>
      <c r="M25" s="9">
        <f t="shared" si="5"/>
        <v>8.4679138426163765E-3</v>
      </c>
    </row>
    <row r="26" spans="1:13" x14ac:dyDescent="0.3">
      <c r="A26" s="10">
        <v>41813</v>
      </c>
      <c r="B26" s="9">
        <v>4368.6801759999998</v>
      </c>
      <c r="C26" s="11">
        <f t="shared" si="6"/>
        <v>1.4655016764589072E-4</v>
      </c>
      <c r="D26" s="9">
        <f t="shared" si="0"/>
        <v>103.39875446971351</v>
      </c>
      <c r="E26" s="9">
        <f t="shared" si="1"/>
        <v>0.70101947859912483</v>
      </c>
      <c r="F26" s="9">
        <f t="shared" si="7"/>
        <v>-66.587536249095805</v>
      </c>
      <c r="G26" s="9"/>
      <c r="H26" s="9">
        <f t="shared" si="9"/>
        <v>5.7262652216003262</v>
      </c>
      <c r="I26" s="9">
        <f t="shared" si="2"/>
        <v>-66.758275724557166</v>
      </c>
      <c r="J26" s="9">
        <f t="shared" si="3"/>
        <v>2.5480017608944472E-2</v>
      </c>
      <c r="K26" s="9">
        <f t="shared" si="8"/>
        <v>2.3908223751514576E-3</v>
      </c>
      <c r="L26" s="9">
        <f t="shared" si="4"/>
        <v>2.7870839984095931E-2</v>
      </c>
      <c r="M26" s="9">
        <f t="shared" si="5"/>
        <v>2.805239835286169E-2</v>
      </c>
    </row>
    <row r="27" spans="1:13" x14ac:dyDescent="0.3">
      <c r="A27" s="10">
        <v>41814</v>
      </c>
      <c r="B27" s="9">
        <v>4350.3500979999999</v>
      </c>
      <c r="C27" s="11">
        <f t="shared" si="6"/>
        <v>-4.1957930682815815E-3</v>
      </c>
      <c r="D27" s="9">
        <f t="shared" si="0"/>
        <v>102.96491469244053</v>
      </c>
      <c r="E27" s="9">
        <f t="shared" si="1"/>
        <v>0.68326950568981493</v>
      </c>
      <c r="F27" s="9">
        <f t="shared" si="7"/>
        <v>-64.762648333017694</v>
      </c>
      <c r="G27" s="9"/>
      <c r="H27" s="9">
        <f t="shared" si="9"/>
        <v>5.413816068577785</v>
      </c>
      <c r="I27" s="9">
        <f t="shared" si="2"/>
        <v>-64.938970296720015</v>
      </c>
      <c r="J27" s="9">
        <f t="shared" si="3"/>
        <v>0.31244915302254128</v>
      </c>
      <c r="K27" s="9">
        <f t="shared" si="8"/>
        <v>-0.30687368161652878</v>
      </c>
      <c r="L27" s="9">
        <f t="shared" si="4"/>
        <v>5.5754714060124999E-3</v>
      </c>
      <c r="M27" s="9">
        <f t="shared" si="5"/>
        <v>5.611560953701379E-3</v>
      </c>
    </row>
    <row r="28" spans="1:13" x14ac:dyDescent="0.3">
      <c r="A28" s="10">
        <v>41815</v>
      </c>
      <c r="B28" s="9">
        <v>4379.7597660000001</v>
      </c>
      <c r="C28" s="11">
        <f t="shared" si="6"/>
        <v>6.7602991339756396E-3</v>
      </c>
      <c r="D28" s="9">
        <f t="shared" si="0"/>
        <v>103.66098831606571</v>
      </c>
      <c r="E28" s="9">
        <f t="shared" si="1"/>
        <v>0.7123386227423395</v>
      </c>
      <c r="F28" s="9">
        <f t="shared" si="7"/>
        <v>-67.778643269545071</v>
      </c>
      <c r="G28" s="9"/>
      <c r="H28" s="9">
        <f t="shared" si="9"/>
        <v>5.8874796644635792</v>
      </c>
      <c r="I28" s="9">
        <f t="shared" si="2"/>
        <v>-67.954245984712415</v>
      </c>
      <c r="J28" s="9">
        <f t="shared" si="3"/>
        <v>-0.47366359588579421</v>
      </c>
      <c r="K28" s="9">
        <f t="shared" si="8"/>
        <v>0.47293710109382631</v>
      </c>
      <c r="L28" s="9">
        <f t="shared" si="4"/>
        <v>-7.2649479196790212E-4</v>
      </c>
      <c r="M28" s="9">
        <f t="shared" si="5"/>
        <v>-7.3116728178995239E-4</v>
      </c>
    </row>
    <row r="29" spans="1:13" x14ac:dyDescent="0.3">
      <c r="A29" s="10">
        <v>41816</v>
      </c>
      <c r="B29" s="9">
        <v>4379.0498049999997</v>
      </c>
      <c r="C29" s="11">
        <f t="shared" si="6"/>
        <v>-1.621004433877609E-4</v>
      </c>
      <c r="D29" s="9">
        <f t="shared" si="0"/>
        <v>103.64418482389766</v>
      </c>
      <c r="E29" s="9">
        <f t="shared" si="1"/>
        <v>0.7120120239825094</v>
      </c>
      <c r="F29" s="9">
        <f t="shared" si="7"/>
        <v>-67.747578688249504</v>
      </c>
      <c r="G29" s="9"/>
      <c r="H29" s="9">
        <f t="shared" si="9"/>
        <v>5.8634632949731564</v>
      </c>
      <c r="I29" s="9">
        <f t="shared" si="2"/>
        <v>-67.932442515507503</v>
      </c>
      <c r="J29" s="9">
        <f t="shared" si="3"/>
        <v>2.401636949042274E-2</v>
      </c>
      <c r="K29" s="9">
        <f t="shared" si="8"/>
        <v>-1.4762474097996282E-2</v>
      </c>
      <c r="L29" s="9">
        <f t="shared" si="4"/>
        <v>9.2538953924264575E-3</v>
      </c>
      <c r="M29" s="9">
        <f t="shared" si="5"/>
        <v>9.31302957679816E-3</v>
      </c>
    </row>
    <row r="30" spans="1:13" x14ac:dyDescent="0.3">
      <c r="A30" s="10">
        <v>41817</v>
      </c>
      <c r="B30" s="9">
        <v>4397.9301759999998</v>
      </c>
      <c r="C30" s="11">
        <f t="shared" si="6"/>
        <v>4.3115223257891664E-3</v>
      </c>
      <c r="D30" s="9">
        <f t="shared" si="0"/>
        <v>104.09104904070412</v>
      </c>
      <c r="E30" s="9">
        <f t="shared" si="1"/>
        <v>0.73019585638629192</v>
      </c>
      <c r="F30" s="9">
        <f t="shared" si="7"/>
        <v>-69.643137083018232</v>
      </c>
      <c r="G30" s="9"/>
      <c r="H30" s="9">
        <f t="shared" si="9"/>
        <v>6.1737230088263741</v>
      </c>
      <c r="I30" s="9">
        <f t="shared" si="2"/>
        <v>-69.833129687598088</v>
      </c>
      <c r="J30" s="9">
        <f t="shared" si="3"/>
        <v>-0.31025971385321771</v>
      </c>
      <c r="K30" s="9">
        <f t="shared" si="8"/>
        <v>0.31538089387537499</v>
      </c>
      <c r="L30" s="9">
        <f t="shared" si="4"/>
        <v>5.121180022157279E-3</v>
      </c>
      <c r="M30" s="9">
        <f t="shared" si="5"/>
        <v>5.1536935546790232E-3</v>
      </c>
    </row>
    <row r="31" spans="1:13" x14ac:dyDescent="0.3">
      <c r="A31" s="10">
        <v>41820</v>
      </c>
      <c r="B31" s="9">
        <v>4408.1801759999998</v>
      </c>
      <c r="C31" s="11">
        <f t="shared" si="6"/>
        <v>2.3306418223589371E-3</v>
      </c>
      <c r="D31" s="9">
        <f t="shared" si="0"/>
        <v>104.33364799293162</v>
      </c>
      <c r="E31" s="9">
        <f t="shared" si="1"/>
        <v>0.7409077243680815</v>
      </c>
      <c r="F31" s="9">
        <f t="shared" si="7"/>
        <v>-70.769332015869708</v>
      </c>
      <c r="G31" s="9"/>
      <c r="H31" s="9">
        <f t="shared" si="9"/>
        <v>6.3164422641392717</v>
      </c>
      <c r="I31" s="9">
        <f t="shared" si="2"/>
        <v>-70.985163445324147</v>
      </c>
      <c r="J31" s="9">
        <f t="shared" si="3"/>
        <v>-0.14271925531289753</v>
      </c>
      <c r="K31" s="9">
        <f t="shared" si="8"/>
        <v>0.16853465499772344</v>
      </c>
      <c r="L31" s="9">
        <f t="shared" si="4"/>
        <v>2.5815399684825907E-2</v>
      </c>
      <c r="M31" s="9">
        <f t="shared" si="5"/>
        <v>2.5976094696242746E-2</v>
      </c>
    </row>
    <row r="32" spans="1:13" x14ac:dyDescent="0.3">
      <c r="A32" s="10">
        <v>41821</v>
      </c>
      <c r="B32" s="9">
        <v>4458.6499020000001</v>
      </c>
      <c r="C32" s="11">
        <f t="shared" si="6"/>
        <v>1.1449106884237363E-2</v>
      </c>
      <c r="D32" s="9">
        <f t="shared" si="0"/>
        <v>105.52817508042507</v>
      </c>
      <c r="E32" s="9">
        <f t="shared" si="1"/>
        <v>0.78519473613923729</v>
      </c>
      <c r="F32" s="9">
        <f t="shared" si="7"/>
        <v>-75.445767936319058</v>
      </c>
      <c r="G32" s="9"/>
      <c r="H32" s="9">
        <f t="shared" si="9"/>
        <v>7.2167830442295653</v>
      </c>
      <c r="I32" s="9">
        <f t="shared" si="2"/>
        <v>-75.643384543300044</v>
      </c>
      <c r="J32" s="9">
        <f t="shared" si="3"/>
        <v>-0.90034078009029361</v>
      </c>
      <c r="K32" s="9">
        <f t="shared" si="8"/>
        <v>0.88211708764980645</v>
      </c>
      <c r="L32" s="9">
        <f t="shared" si="4"/>
        <v>-1.822369244048716E-2</v>
      </c>
      <c r="M32" s="9">
        <f t="shared" si="5"/>
        <v>-1.8336377229900086E-2</v>
      </c>
    </row>
    <row r="33" spans="1:13" x14ac:dyDescent="0.3">
      <c r="A33" s="10">
        <v>41822</v>
      </c>
      <c r="B33" s="9">
        <v>4457.7299800000001</v>
      </c>
      <c r="C33" s="11">
        <f t="shared" si="6"/>
        <v>-2.0632299467769296E-4</v>
      </c>
      <c r="D33" s="9">
        <f t="shared" si="0"/>
        <v>105.50640219131961</v>
      </c>
      <c r="E33" s="9">
        <f t="shared" si="1"/>
        <v>0.78498275953556573</v>
      </c>
      <c r="F33" s="9">
        <f t="shared" si="7"/>
        <v>-75.426503622238016</v>
      </c>
      <c r="G33" s="9"/>
      <c r="H33" s="9">
        <f t="shared" si="9"/>
        <v>7.188349972444307</v>
      </c>
      <c r="I33" s="9">
        <f t="shared" si="2"/>
        <v>-75.632356768367032</v>
      </c>
      <c r="J33" s="9">
        <f t="shared" si="3"/>
        <v>2.8433071785258335E-2</v>
      </c>
      <c r="K33" s="9">
        <f t="shared" si="8"/>
        <v>-2.0204654034530686E-2</v>
      </c>
      <c r="L33" s="9">
        <f t="shared" si="4"/>
        <v>8.2284177507276485E-3</v>
      </c>
      <c r="M33" s="9">
        <f t="shared" si="5"/>
        <v>8.2789572958678111E-3</v>
      </c>
    </row>
    <row r="34" spans="1:13" x14ac:dyDescent="0.3">
      <c r="A34" s="10">
        <v>41823</v>
      </c>
      <c r="B34" s="9">
        <v>4485.9301759999998</v>
      </c>
      <c r="C34" s="11">
        <f t="shared" si="6"/>
        <v>6.3261337332055669E-3</v>
      </c>
      <c r="D34" s="9">
        <f t="shared" si="0"/>
        <v>106.17384980129128</v>
      </c>
      <c r="E34" s="9">
        <f t="shared" si="1"/>
        <v>0.80795632639416681</v>
      </c>
      <c r="F34" s="9">
        <f t="shared" si="7"/>
        <v>-77.868795442303721</v>
      </c>
      <c r="G34" s="9"/>
      <c r="H34" s="9">
        <f t="shared" si="9"/>
        <v>7.708860858382268</v>
      </c>
      <c r="I34" s="9">
        <f t="shared" si="2"/>
        <v>-78.074972786195076</v>
      </c>
      <c r="J34" s="9">
        <f t="shared" si="3"/>
        <v>-0.52051088593796102</v>
      </c>
      <c r="K34" s="9">
        <f t="shared" si="8"/>
        <v>0.52082662380814781</v>
      </c>
      <c r="L34" s="9">
        <f t="shared" si="4"/>
        <v>3.1573787018679411E-4</v>
      </c>
      <c r="M34" s="9">
        <f t="shared" si="5"/>
        <v>3.1766410037836643E-4</v>
      </c>
    </row>
    <row r="35" spans="1:13" x14ac:dyDescent="0.3">
      <c r="A35" s="10">
        <v>41827</v>
      </c>
      <c r="B35" s="9">
        <v>4451.5297849999997</v>
      </c>
      <c r="C35" s="11">
        <f t="shared" si="6"/>
        <v>-7.6685079014480245E-3</v>
      </c>
      <c r="D35" s="9">
        <f t="shared" si="0"/>
        <v>105.35965479516291</v>
      </c>
      <c r="E35" s="9">
        <f t="shared" si="1"/>
        <v>0.78259028746289516</v>
      </c>
      <c r="F35" s="9">
        <f t="shared" si="7"/>
        <v>-75.209039739061197</v>
      </c>
      <c r="G35" s="9"/>
      <c r="H35" s="9">
        <f t="shared" si="9"/>
        <v>7.0161218023758005</v>
      </c>
      <c r="I35" s="9">
        <f t="shared" si="2"/>
        <v>-75.437320730762139</v>
      </c>
      <c r="J35" s="9">
        <f t="shared" si="3"/>
        <v>0.69273905600646746</v>
      </c>
      <c r="K35" s="9">
        <f t="shared" si="8"/>
        <v>-0.67066930314880835</v>
      </c>
      <c r="L35" s="9">
        <f t="shared" si="4"/>
        <v>2.2069752857659108E-2</v>
      </c>
      <c r="M35" s="9">
        <f t="shared" si="5"/>
        <v>2.2200744632333406E-2</v>
      </c>
    </row>
    <row r="36" spans="1:13" x14ac:dyDescent="0.3">
      <c r="A36" s="10">
        <v>41828</v>
      </c>
      <c r="B36" s="9">
        <v>4391.4599609999996</v>
      </c>
      <c r="C36" s="11">
        <f t="shared" si="6"/>
        <v>-1.3494197927735568E-2</v>
      </c>
      <c r="D36" s="9">
        <f t="shared" si="0"/>
        <v>103.93791075975909</v>
      </c>
      <c r="E36" s="9">
        <f t="shared" si="1"/>
        <v>0.72870943915494779</v>
      </c>
      <c r="F36" s="9">
        <f t="shared" si="7"/>
        <v>-69.611867781934762</v>
      </c>
      <c r="G36" s="9"/>
      <c r="H36" s="9">
        <f t="shared" si="9"/>
        <v>5.9289705353905537</v>
      </c>
      <c r="I36" s="9">
        <f t="shared" si="2"/>
        <v>-69.811566121290511</v>
      </c>
      <c r="J36" s="9">
        <f t="shared" si="3"/>
        <v>1.0871512669852468</v>
      </c>
      <c r="K36" s="9">
        <f t="shared" si="8"/>
        <v>-1.1157433009338409</v>
      </c>
      <c r="L36" s="9">
        <f t="shared" si="4"/>
        <v>-2.8592033948594109E-2</v>
      </c>
      <c r="M36" s="9">
        <f t="shared" si="5"/>
        <v>-2.8760555799220898E-2</v>
      </c>
    </row>
    <row r="37" spans="1:13" x14ac:dyDescent="0.3">
      <c r="A37" s="10">
        <v>41829</v>
      </c>
      <c r="B37" s="9">
        <v>4419.0297849999997</v>
      </c>
      <c r="C37" s="11">
        <f t="shared" si="6"/>
        <v>6.2780542791791962E-3</v>
      </c>
      <c r="D37" s="9">
        <f t="shared" si="0"/>
        <v>104.59043860517335</v>
      </c>
      <c r="E37" s="9">
        <f t="shared" si="1"/>
        <v>0.75511662743348795</v>
      </c>
      <c r="F37" s="9">
        <f t="shared" si="7"/>
        <v>-72.376668006789913</v>
      </c>
      <c r="G37" s="9"/>
      <c r="H37" s="9">
        <f t="shared" si="9"/>
        <v>6.4010282394964442</v>
      </c>
      <c r="I37" s="9">
        <f t="shared" si="2"/>
        <v>-72.576951021831334</v>
      </c>
      <c r="J37" s="9">
        <f t="shared" si="3"/>
        <v>-0.47205770410589043</v>
      </c>
      <c r="K37" s="9">
        <f t="shared" si="8"/>
        <v>0.47263417284186321</v>
      </c>
      <c r="L37" s="9">
        <f t="shared" si="4"/>
        <v>5.7646873597277937E-4</v>
      </c>
      <c r="M37" s="9">
        <f t="shared" si="5"/>
        <v>5.7984262117997238E-4</v>
      </c>
    </row>
    <row r="38" spans="1:13" x14ac:dyDescent="0.3">
      <c r="A38" s="10">
        <v>41830</v>
      </c>
      <c r="B38" s="9">
        <v>4396.2001950000003</v>
      </c>
      <c r="C38" s="11">
        <f t="shared" si="6"/>
        <v>-5.1661996208969595E-3</v>
      </c>
      <c r="D38" s="9">
        <f t="shared" si="0"/>
        <v>104.05010352090184</v>
      </c>
      <c r="E38" s="9">
        <f t="shared" si="1"/>
        <v>0.73418546710536992</v>
      </c>
      <c r="F38" s="9">
        <f t="shared" si="7"/>
        <v>-70.201753052571661</v>
      </c>
      <c r="G38" s="9"/>
      <c r="H38" s="9">
        <f t="shared" si="9"/>
        <v>5.986479162413409</v>
      </c>
      <c r="I38" s="9">
        <f t="shared" si="2"/>
        <v>-70.405594693442012</v>
      </c>
      <c r="J38" s="9">
        <f t="shared" si="3"/>
        <v>0.41454907708303512</v>
      </c>
      <c r="K38" s="9">
        <f t="shared" si="8"/>
        <v>-0.41099868223207214</v>
      </c>
      <c r="L38" s="9">
        <f t="shared" si="4"/>
        <v>3.550394850962979E-3</v>
      </c>
      <c r="M38" s="9">
        <f t="shared" si="5"/>
        <v>3.5710274070345949E-3</v>
      </c>
    </row>
    <row r="39" spans="1:13" x14ac:dyDescent="0.3">
      <c r="A39" s="10">
        <v>41831</v>
      </c>
      <c r="B39" s="9">
        <v>4415.4902339999999</v>
      </c>
      <c r="C39" s="11">
        <f t="shared" si="6"/>
        <v>4.3878891188665536E-3</v>
      </c>
      <c r="D39" s="9">
        <f t="shared" si="0"/>
        <v>104.50666383795814</v>
      </c>
      <c r="E39" s="9">
        <f t="shared" si="1"/>
        <v>0.75288905221551516</v>
      </c>
      <c r="F39" s="9">
        <f t="shared" si="7"/>
        <v>-72.159287397074053</v>
      </c>
      <c r="G39" s="9"/>
      <c r="H39" s="9">
        <f t="shared" si="9"/>
        <v>6.3137911771942745</v>
      </c>
      <c r="I39" s="9">
        <f t="shared" si="2"/>
        <v>-72.368131909971481</v>
      </c>
      <c r="J39" s="9">
        <f t="shared" si="3"/>
        <v>-0.32731201478086547</v>
      </c>
      <c r="K39" s="9">
        <f t="shared" si="8"/>
        <v>0.3323065095820828</v>
      </c>
      <c r="L39" s="9">
        <f t="shared" si="4"/>
        <v>4.9944948012173307E-3</v>
      </c>
      <c r="M39" s="9">
        <f t="shared" si="5"/>
        <v>5.0233130731418127E-3</v>
      </c>
    </row>
    <row r="40" spans="1:13" x14ac:dyDescent="0.3">
      <c r="A40" s="10">
        <v>41834</v>
      </c>
      <c r="B40" s="9">
        <v>4440.419922</v>
      </c>
      <c r="C40" s="11">
        <f t="shared" si="6"/>
        <v>5.6459615306217823E-3</v>
      </c>
      <c r="D40" s="9">
        <f t="shared" si="0"/>
        <v>105.09670444168088</v>
      </c>
      <c r="E40" s="9">
        <f t="shared" si="1"/>
        <v>0.77704890794288928</v>
      </c>
      <c r="F40" s="9">
        <f t="shared" si="7"/>
        <v>-74.707305512736269</v>
      </c>
      <c r="G40" s="9"/>
      <c r="H40" s="9">
        <f t="shared" si="9"/>
        <v>6.7293258215540686</v>
      </c>
      <c r="I40" s="9">
        <f t="shared" si="2"/>
        <v>-74.935953593250659</v>
      </c>
      <c r="J40" s="9">
        <f t="shared" si="3"/>
        <v>-0.41553464435979404</v>
      </c>
      <c r="K40" s="9">
        <f t="shared" si="8"/>
        <v>0.43531246243584959</v>
      </c>
      <c r="L40" s="9">
        <f t="shared" si="4"/>
        <v>1.9777818076055553E-2</v>
      </c>
      <c r="M40" s="9">
        <f t="shared" si="5"/>
        <v>1.9889483953237131E-2</v>
      </c>
    </row>
    <row r="41" spans="1:13" x14ac:dyDescent="0.3">
      <c r="A41" s="10">
        <v>41835</v>
      </c>
      <c r="B41" s="9">
        <v>4416.3901370000003</v>
      </c>
      <c r="C41" s="11">
        <f t="shared" si="6"/>
        <v>-5.4116019255171068E-3</v>
      </c>
      <c r="D41" s="9">
        <f t="shared" si="0"/>
        <v>104.52796291355877</v>
      </c>
      <c r="E41" s="9">
        <f t="shared" si="1"/>
        <v>0.75584116086893238</v>
      </c>
      <c r="F41" s="9">
        <f t="shared" si="7"/>
        <v>-72.493573139436222</v>
      </c>
      <c r="G41" s="9"/>
      <c r="H41" s="9">
        <f t="shared" si="9"/>
        <v>6.2813524024762355</v>
      </c>
      <c r="I41" s="9">
        <f t="shared" si="2"/>
        <v>-72.725184429372746</v>
      </c>
      <c r="J41" s="9">
        <f t="shared" ref="J41:J72" si="10">-(H41-H40)</f>
        <v>0.44797341907783306</v>
      </c>
      <c r="K41" s="9">
        <f t="shared" si="8"/>
        <v>-0.44501960634525423</v>
      </c>
      <c r="L41" s="9">
        <f t="shared" ref="L41:L72" si="11">K41+J41</f>
        <v>2.953812732578831E-3</v>
      </c>
      <c r="M41" s="9">
        <f t="shared" ref="M41:M72" si="12">L41*EXP($E$3*($A$137-A41)/365)</f>
        <v>2.9703679340864955E-3</v>
      </c>
    </row>
    <row r="42" spans="1:13" x14ac:dyDescent="0.3">
      <c r="A42" s="10">
        <v>41836</v>
      </c>
      <c r="B42" s="9">
        <v>4425.9702150000003</v>
      </c>
      <c r="C42" s="11">
        <f t="shared" si="6"/>
        <v>2.1692100794581492E-3</v>
      </c>
      <c r="D42" s="9">
        <f t="shared" si="0"/>
        <v>104.75470602429611</v>
      </c>
      <c r="E42" s="9">
        <f t="shared" si="1"/>
        <v>0.76524774077064406</v>
      </c>
      <c r="F42" s="9">
        <f t="shared" si="7"/>
        <v>-73.481935900888345</v>
      </c>
      <c r="G42" s="9"/>
      <c r="H42" s="9">
        <f t="shared" si="9"/>
        <v>6.4416817600826608</v>
      </c>
      <c r="I42" s="9">
        <f t="shared" si="2"/>
        <v>-73.721620360102918</v>
      </c>
      <c r="J42" s="9">
        <f t="shared" si="10"/>
        <v>-0.1603293576064253</v>
      </c>
      <c r="K42" s="9">
        <f t="shared" si="8"/>
        <v>0.16839300841671673</v>
      </c>
      <c r="L42" s="9">
        <f t="shared" si="11"/>
        <v>8.0636508102914228E-3</v>
      </c>
      <c r="M42" s="9">
        <f t="shared" si="12"/>
        <v>8.1085118313189777E-3</v>
      </c>
    </row>
    <row r="43" spans="1:13" x14ac:dyDescent="0.3">
      <c r="A43" s="10">
        <v>41837</v>
      </c>
      <c r="B43" s="9">
        <v>4363.4501950000003</v>
      </c>
      <c r="C43" s="11">
        <f t="shared" si="6"/>
        <v>-1.4125720907048609E-2</v>
      </c>
      <c r="D43" s="9">
        <f t="shared" si="0"/>
        <v>103.27497028329698</v>
      </c>
      <c r="E43" s="9">
        <f t="shared" si="1"/>
        <v>0.70434926905975381</v>
      </c>
      <c r="F43" s="9">
        <f t="shared" si="7"/>
        <v>-67.195667912284563</v>
      </c>
      <c r="G43" s="9"/>
      <c r="H43" s="9">
        <f t="shared" si="9"/>
        <v>5.3408604725742252</v>
      </c>
      <c r="I43" s="9">
        <f t="shared" si="2"/>
        <v>-67.400789358633801</v>
      </c>
      <c r="J43" s="9">
        <f t="shared" si="10"/>
        <v>1.1008212875084356</v>
      </c>
      <c r="K43" s="9">
        <f t="shared" si="8"/>
        <v>-1.1353941506224408</v>
      </c>
      <c r="L43" s="9">
        <f t="shared" si="11"/>
        <v>-3.4572863114005203E-2</v>
      </c>
      <c r="M43" s="9">
        <f t="shared" si="12"/>
        <v>-3.4763775842921424E-2</v>
      </c>
    </row>
    <row r="44" spans="1:13" x14ac:dyDescent="0.3">
      <c r="A44" s="10">
        <v>41838</v>
      </c>
      <c r="B44" s="9">
        <v>4432.1499020000001</v>
      </c>
      <c r="C44" s="11">
        <f t="shared" si="6"/>
        <v>1.5744354565733677E-2</v>
      </c>
      <c r="D44" s="9">
        <f t="shared" si="0"/>
        <v>104.90096803320282</v>
      </c>
      <c r="E44" s="9">
        <f t="shared" si="1"/>
        <v>0.77203731010191157</v>
      </c>
      <c r="F44" s="9">
        <f t="shared" si="7"/>
        <v>-74.298970464425906</v>
      </c>
      <c r="G44" s="9"/>
      <c r="H44" s="9">
        <f t="shared" si="9"/>
        <v>6.5300006698501321</v>
      </c>
      <c r="I44" s="9">
        <f t="shared" si="2"/>
        <v>-74.457460517590391</v>
      </c>
      <c r="J44" s="9">
        <f t="shared" si="10"/>
        <v>-1.1891401972759068</v>
      </c>
      <c r="K44" s="9">
        <f t="shared" si="8"/>
        <v>1.1425003742694524</v>
      </c>
      <c r="L44" s="9">
        <f t="shared" si="11"/>
        <v>-4.6639823006454417E-2</v>
      </c>
      <c r="M44" s="9">
        <f t="shared" si="12"/>
        <v>-4.6895442719563765E-2</v>
      </c>
    </row>
    <row r="45" spans="1:13" x14ac:dyDescent="0.3">
      <c r="A45" s="10">
        <v>41841</v>
      </c>
      <c r="B45" s="9">
        <v>4424.7001950000003</v>
      </c>
      <c r="C45" s="11">
        <f t="shared" si="6"/>
        <v>-1.6808337183356759E-3</v>
      </c>
      <c r="D45" s="9">
        <f t="shared" si="0"/>
        <v>104.72464694904656</v>
      </c>
      <c r="E45" s="9">
        <f t="shared" si="1"/>
        <v>0.76700448951175981</v>
      </c>
      <c r="F45" s="9">
        <f t="shared" si="7"/>
        <v>-73.781070816697749</v>
      </c>
      <c r="G45" s="9"/>
      <c r="H45" s="9">
        <f t="shared" si="9"/>
        <v>6.3579497321556815</v>
      </c>
      <c r="I45" s="9">
        <f t="shared" si="2"/>
        <v>-73.966324640297046</v>
      </c>
      <c r="J45" s="9">
        <f t="shared" si="10"/>
        <v>0.17205093769445057</v>
      </c>
      <c r="K45" s="9">
        <f t="shared" si="8"/>
        <v>-0.14530670833375164</v>
      </c>
      <c r="L45" s="9">
        <f t="shared" si="11"/>
        <v>2.6744229360698923E-2</v>
      </c>
      <c r="M45" s="9">
        <f t="shared" si="12"/>
        <v>2.6887491836847556E-2</v>
      </c>
    </row>
    <row r="46" spans="1:13" x14ac:dyDescent="0.3">
      <c r="A46" s="10">
        <v>41842</v>
      </c>
      <c r="B46" s="9">
        <v>4456.0200199999999</v>
      </c>
      <c r="C46" s="11">
        <f t="shared" si="6"/>
        <v>7.0784061336837262E-3</v>
      </c>
      <c r="D46" s="9">
        <f t="shared" si="0"/>
        <v>105.46593053235853</v>
      </c>
      <c r="E46" s="9">
        <f t="shared" si="1"/>
        <v>0.79562576627649795</v>
      </c>
      <c r="F46" s="9">
        <f t="shared" si="7"/>
        <v>-76.802672564819957</v>
      </c>
      <c r="G46" s="9"/>
      <c r="H46" s="9">
        <f t="shared" si="9"/>
        <v>6.9252657891278053</v>
      </c>
      <c r="I46" s="9">
        <f t="shared" si="2"/>
        <v>-76.986146006743851</v>
      </c>
      <c r="J46" s="9">
        <f t="shared" si="10"/>
        <v>-0.56731605697212384</v>
      </c>
      <c r="K46" s="9">
        <f t="shared" si="8"/>
        <v>0.56552806196944261</v>
      </c>
      <c r="L46" s="9">
        <f t="shared" si="11"/>
        <v>-1.7879950026812308E-3</v>
      </c>
      <c r="M46" s="9">
        <f t="shared" si="12"/>
        <v>-1.7974989953350264E-3</v>
      </c>
    </row>
    <row r="47" spans="1:13" x14ac:dyDescent="0.3">
      <c r="A47" s="10">
        <v>41843</v>
      </c>
      <c r="B47" s="9">
        <v>4473.7001950000003</v>
      </c>
      <c r="C47" s="11">
        <f t="shared" si="6"/>
        <v>3.9677054682533538E-3</v>
      </c>
      <c r="D47" s="9">
        <f t="shared" si="0"/>
        <v>105.88438828164621</v>
      </c>
      <c r="E47" s="9">
        <f t="shared" si="1"/>
        <v>0.81113127971099985</v>
      </c>
      <c r="F47" s="9">
        <f t="shared" si="7"/>
        <v>-78.447620708895869</v>
      </c>
      <c r="G47" s="9"/>
      <c r="H47" s="9">
        <f t="shared" si="9"/>
        <v>7.2498399894402992</v>
      </c>
      <c r="I47" s="9">
        <f t="shared" si="2"/>
        <v>-78.63629937886779</v>
      </c>
      <c r="J47" s="9">
        <f t="shared" si="10"/>
        <v>-0.32457420031249384</v>
      </c>
      <c r="K47" s="9">
        <f t="shared" si="8"/>
        <v>0.32977188820113229</v>
      </c>
      <c r="L47" s="9">
        <f t="shared" si="11"/>
        <v>5.197687888638447E-3</v>
      </c>
      <c r="M47" s="9">
        <f t="shared" si="12"/>
        <v>5.2251011884790191E-3</v>
      </c>
    </row>
    <row r="48" spans="1:13" x14ac:dyDescent="0.3">
      <c r="A48" s="10">
        <v>41844</v>
      </c>
      <c r="B48" s="9">
        <v>4472.1098629999997</v>
      </c>
      <c r="C48" s="11">
        <f t="shared" si="6"/>
        <v>-3.5548470632388262E-4</v>
      </c>
      <c r="D48" s="9">
        <f t="shared" si="0"/>
        <v>105.84674800097362</v>
      </c>
      <c r="E48" s="9">
        <f t="shared" si="1"/>
        <v>0.81053217655379595</v>
      </c>
      <c r="F48" s="9">
        <f t="shared" si="7"/>
        <v>-78.387431529057281</v>
      </c>
      <c r="G48" s="9"/>
      <c r="H48" s="9">
        <f t="shared" si="9"/>
        <v>7.2078049020761732</v>
      </c>
      <c r="I48" s="9">
        <f t="shared" si="2"/>
        <v>-78.584390136294118</v>
      </c>
      <c r="J48" s="9">
        <f t="shared" si="10"/>
        <v>4.2035087364125978E-2</v>
      </c>
      <c r="K48" s="9">
        <f t="shared" si="8"/>
        <v>-3.3762904176468614E-2</v>
      </c>
      <c r="L48" s="9">
        <f t="shared" si="11"/>
        <v>8.2721831876573643E-3</v>
      </c>
      <c r="M48" s="9">
        <f t="shared" si="12"/>
        <v>8.3154700474968452E-3</v>
      </c>
    </row>
    <row r="49" spans="1:13" x14ac:dyDescent="0.3">
      <c r="A49" s="10">
        <v>41845</v>
      </c>
      <c r="B49" s="9">
        <v>4449.5600590000004</v>
      </c>
      <c r="C49" s="11">
        <f t="shared" si="6"/>
        <v>-5.0423188809749766E-3</v>
      </c>
      <c r="D49" s="9">
        <f t="shared" si="0"/>
        <v>105.31303494503852</v>
      </c>
      <c r="E49" s="9">
        <f t="shared" si="1"/>
        <v>0.79204227819340889</v>
      </c>
      <c r="F49" s="9">
        <f t="shared" si="7"/>
        <v>-76.443425684389425</v>
      </c>
      <c r="G49" s="9"/>
      <c r="H49" s="9">
        <f t="shared" si="9"/>
        <v>6.7683575250703836</v>
      </c>
      <c r="I49" s="9">
        <f t="shared" si="2"/>
        <v>-76.644018596260011</v>
      </c>
      <c r="J49" s="9">
        <f t="shared" si="10"/>
        <v>0.43944737700578962</v>
      </c>
      <c r="K49" s="9">
        <f t="shared" si="8"/>
        <v>-0.43582116672770088</v>
      </c>
      <c r="L49" s="9">
        <f t="shared" si="11"/>
        <v>3.6262102780887373E-3</v>
      </c>
      <c r="M49" s="9">
        <f t="shared" si="12"/>
        <v>3.6450357909164313E-3</v>
      </c>
    </row>
    <row r="50" spans="1:13" x14ac:dyDescent="0.3">
      <c r="A50" s="10">
        <v>41848</v>
      </c>
      <c r="B50" s="9">
        <v>4444.9101559999999</v>
      </c>
      <c r="C50" s="11">
        <f t="shared" si="6"/>
        <v>-1.0450253369645435E-3</v>
      </c>
      <c r="D50" s="9">
        <f t="shared" si="0"/>
        <v>105.20298015520831</v>
      </c>
      <c r="E50" s="9">
        <f t="shared" si="1"/>
        <v>0.78998421572968525</v>
      </c>
      <c r="F50" s="9">
        <f t="shared" si="7"/>
        <v>-76.236336492782002</v>
      </c>
      <c r="G50" s="9"/>
      <c r="H50" s="9">
        <f t="shared" si="9"/>
        <v>6.6453093169067232</v>
      </c>
      <c r="I50" s="9">
        <f t="shared" si="2"/>
        <v>-76.463384453431161</v>
      </c>
      <c r="J50" s="9">
        <f t="shared" si="10"/>
        <v>0.12304820816366036</v>
      </c>
      <c r="K50" s="9">
        <f t="shared" si="8"/>
        <v>-9.6617891542617976E-2</v>
      </c>
      <c r="L50" s="9">
        <f t="shared" si="11"/>
        <v>2.643031662104238E-2</v>
      </c>
      <c r="M50" s="9">
        <f t="shared" si="12"/>
        <v>2.6564254670146236E-2</v>
      </c>
    </row>
    <row r="51" spans="1:13" x14ac:dyDescent="0.3">
      <c r="A51" s="10">
        <v>41849</v>
      </c>
      <c r="B51" s="9">
        <v>4442.7001950000003</v>
      </c>
      <c r="C51" s="11">
        <f t="shared" si="6"/>
        <v>-4.9718912698751218E-4</v>
      </c>
      <c r="D51" s="9">
        <f t="shared" si="0"/>
        <v>105.15067437734847</v>
      </c>
      <c r="E51" s="9">
        <f t="shared" si="1"/>
        <v>0.78869580823010099</v>
      </c>
      <c r="F51" s="9">
        <f t="shared" si="7"/>
        <v>-76.103992639835312</v>
      </c>
      <c r="G51" s="9"/>
      <c r="H51" s="9">
        <f t="shared" si="9"/>
        <v>6.5919239058607859</v>
      </c>
      <c r="I51" s="9">
        <f t="shared" si="2"/>
        <v>-76.339972208122234</v>
      </c>
      <c r="J51" s="9">
        <f t="shared" si="10"/>
        <v>5.3385411045937303E-2</v>
      </c>
      <c r="K51" s="9">
        <f t="shared" si="8"/>
        <v>-4.4463134338007228E-2</v>
      </c>
      <c r="L51" s="9">
        <f t="shared" si="11"/>
        <v>8.9222767079300755E-3</v>
      </c>
      <c r="M51" s="9">
        <f t="shared" si="12"/>
        <v>8.9671226424970479E-3</v>
      </c>
    </row>
    <row r="52" spans="1:13" x14ac:dyDescent="0.3">
      <c r="A52" s="10">
        <v>41850</v>
      </c>
      <c r="B52" s="9">
        <v>4462.8999020000001</v>
      </c>
      <c r="C52" s="11">
        <f t="shared" si="6"/>
        <v>4.5467184625092088E-3</v>
      </c>
      <c r="D52" s="9">
        <f t="shared" si="0"/>
        <v>105.62876488988525</v>
      </c>
      <c r="E52" s="9">
        <f t="shared" si="1"/>
        <v>0.80716490338836655</v>
      </c>
      <c r="F52" s="9">
        <f t="shared" si="7"/>
        <v>-78.057987975643854</v>
      </c>
      <c r="G52" s="9"/>
      <c r="H52" s="9">
        <f t="shared" si="9"/>
        <v>6.9614763675912466</v>
      </c>
      <c r="I52" s="9">
        <f t="shared" si="2"/>
        <v>-78.298355439785468</v>
      </c>
      <c r="J52" s="9">
        <f t="shared" si="10"/>
        <v>-0.36955246173046064</v>
      </c>
      <c r="K52" s="9">
        <f t="shared" si="8"/>
        <v>0.37393065959539523</v>
      </c>
      <c r="L52" s="9">
        <f t="shared" si="11"/>
        <v>4.3781978649345965E-3</v>
      </c>
      <c r="M52" s="9">
        <f t="shared" si="12"/>
        <v>4.4000231228290927E-3</v>
      </c>
    </row>
    <row r="53" spans="1:13" x14ac:dyDescent="0.3">
      <c r="A53" s="10">
        <v>41851</v>
      </c>
      <c r="B53" s="9">
        <v>4369.7700199999999</v>
      </c>
      <c r="C53" s="11">
        <f t="shared" si="6"/>
        <v>-2.0867571320222763E-2</v>
      </c>
      <c r="D53" s="9">
        <f t="shared" si="0"/>
        <v>103.42454910507853</v>
      </c>
      <c r="E53" s="9">
        <f t="shared" si="1"/>
        <v>0.71749842495084593</v>
      </c>
      <c r="F53" s="9">
        <f t="shared" si="7"/>
        <v>-68.78748080183847</v>
      </c>
      <c r="G53" s="9"/>
      <c r="H53" s="9">
        <f t="shared" si="9"/>
        <v>5.2646191505270075</v>
      </c>
      <c r="I53" s="9">
        <f t="shared" si="2"/>
        <v>-68.942331933618249</v>
      </c>
      <c r="J53" s="9">
        <f t="shared" si="10"/>
        <v>1.6968572170642391</v>
      </c>
      <c r="K53" s="9">
        <f t="shared" si="8"/>
        <v>-1.7823834277439965</v>
      </c>
      <c r="L53" s="9">
        <f t="shared" si="11"/>
        <v>-8.5526210679757408E-2</v>
      </c>
      <c r="M53" s="9">
        <f t="shared" si="12"/>
        <v>-8.5949025473650797E-2</v>
      </c>
    </row>
    <row r="54" spans="1:13" x14ac:dyDescent="0.3">
      <c r="A54" s="10">
        <v>41852</v>
      </c>
      <c r="B54" s="9">
        <v>4352.6401370000003</v>
      </c>
      <c r="C54" s="11">
        <f t="shared" si="6"/>
        <v>-3.9200879958436827E-3</v>
      </c>
      <c r="D54" s="9">
        <f t="shared" si="0"/>
        <v>103.01911577165616</v>
      </c>
      <c r="E54" s="9">
        <f t="shared" si="1"/>
        <v>0.69910351628040857</v>
      </c>
      <c r="F54" s="9">
        <f t="shared" si="7"/>
        <v>-66.895280516769745</v>
      </c>
      <c r="G54" s="9"/>
      <c r="H54" s="9">
        <f t="shared" si="9"/>
        <v>4.9640498880504964</v>
      </c>
      <c r="I54" s="9">
        <f t="shared" si="2"/>
        <v>-67.056976192012826</v>
      </c>
      <c r="J54" s="9">
        <f t="shared" si="10"/>
        <v>0.30056926247651106</v>
      </c>
      <c r="K54" s="9">
        <f t="shared" si="8"/>
        <v>-0.29373108288912286</v>
      </c>
      <c r="L54" s="9">
        <f t="shared" si="11"/>
        <v>6.8381795873881934E-3</v>
      </c>
      <c r="M54" s="9">
        <f t="shared" si="12"/>
        <v>6.8717030006025239E-3</v>
      </c>
    </row>
    <row r="55" spans="1:13" x14ac:dyDescent="0.3">
      <c r="A55" s="10">
        <v>41855</v>
      </c>
      <c r="B55" s="9">
        <v>4383.8901370000003</v>
      </c>
      <c r="C55" s="11">
        <f t="shared" si="6"/>
        <v>7.1795505753753054E-3</v>
      </c>
      <c r="D55" s="9">
        <f t="shared" si="0"/>
        <v>103.75874672356922</v>
      </c>
      <c r="E55" s="9">
        <f t="shared" si="1"/>
        <v>0.73486162097334851</v>
      </c>
      <c r="F55" s="9">
        <f t="shared" si="7"/>
        <v>-70.613744516690758</v>
      </c>
      <c r="G55" s="9"/>
      <c r="H55" s="9">
        <f t="shared" si="9"/>
        <v>5.454355574891907</v>
      </c>
      <c r="I55" s="9">
        <f t="shared" si="2"/>
        <v>-70.793965232553276</v>
      </c>
      <c r="J55" s="9">
        <f t="shared" si="10"/>
        <v>-0.49030568684141063</v>
      </c>
      <c r="K55" s="9">
        <f t="shared" si="8"/>
        <v>0.508810791148675</v>
      </c>
      <c r="L55" s="9">
        <f t="shared" si="11"/>
        <v>1.8505104307264375E-2</v>
      </c>
      <c r="M55" s="9">
        <f t="shared" si="12"/>
        <v>1.8593531024017208E-2</v>
      </c>
    </row>
    <row r="56" spans="1:13" x14ac:dyDescent="0.3">
      <c r="A56" s="10">
        <v>41856</v>
      </c>
      <c r="B56" s="9">
        <v>4352.8398440000001</v>
      </c>
      <c r="C56" s="11">
        <f t="shared" si="6"/>
        <v>-7.0828173219798542E-3</v>
      </c>
      <c r="D56" s="9">
        <f t="shared" si="0"/>
        <v>103.02384247496859</v>
      </c>
      <c r="E56" s="9">
        <f t="shared" si="1"/>
        <v>0.70121958196560952</v>
      </c>
      <c r="F56" s="9">
        <f t="shared" si="7"/>
        <v>-67.15071438375648</v>
      </c>
      <c r="G56" s="9"/>
      <c r="H56" s="9">
        <f t="shared" si="9"/>
        <v>4.9130733581154056</v>
      </c>
      <c r="I56" s="9">
        <f t="shared" si="2"/>
        <v>-67.329262394672867</v>
      </c>
      <c r="J56" s="9">
        <f t="shared" si="10"/>
        <v>0.54128221677650146</v>
      </c>
      <c r="K56" s="9">
        <f t="shared" si="8"/>
        <v>-0.54296232820560431</v>
      </c>
      <c r="L56" s="9">
        <f t="shared" si="11"/>
        <v>-1.6801114291028485E-3</v>
      </c>
      <c r="M56" s="9">
        <f t="shared" si="12"/>
        <v>-1.6880704742659976E-3</v>
      </c>
    </row>
    <row r="57" spans="1:13" x14ac:dyDescent="0.3">
      <c r="A57" s="10">
        <v>41857</v>
      </c>
      <c r="B57" s="9">
        <v>4355.0498049999997</v>
      </c>
      <c r="C57" s="11">
        <f t="shared" si="6"/>
        <v>5.0770556216209054E-4</v>
      </c>
      <c r="D57" s="9">
        <f t="shared" si="0"/>
        <v>103.07614825282845</v>
      </c>
      <c r="E57" s="9">
        <f t="shared" si="1"/>
        <v>0.70423027700834162</v>
      </c>
      <c r="F57" s="9">
        <f t="shared" si="7"/>
        <v>-67.463804907429775</v>
      </c>
      <c r="G57" s="9"/>
      <c r="H57" s="9">
        <f t="shared" si="9"/>
        <v>4.9361687982751103</v>
      </c>
      <c r="I57" s="9">
        <f t="shared" si="2"/>
        <v>-67.653175638767166</v>
      </c>
      <c r="J57" s="9">
        <f t="shared" si="10"/>
        <v>-2.3095440159704772E-2</v>
      </c>
      <c r="K57" s="9">
        <f t="shared" si="8"/>
        <v>3.3910822840420997E-2</v>
      </c>
      <c r="L57" s="9">
        <f t="shared" si="11"/>
        <v>1.0815382680716225E-2</v>
      </c>
      <c r="M57" s="9">
        <f t="shared" si="12"/>
        <v>1.0866170884529796E-2</v>
      </c>
    </row>
    <row r="58" spans="1:13" x14ac:dyDescent="0.3">
      <c r="A58" s="10">
        <v>41858</v>
      </c>
      <c r="B58" s="9">
        <v>4334.9702150000003</v>
      </c>
      <c r="C58" s="11">
        <f t="shared" si="6"/>
        <v>-4.6106453195888016E-3</v>
      </c>
      <c r="D58" s="9">
        <f t="shared" si="0"/>
        <v>102.6009006923253</v>
      </c>
      <c r="E58" s="9">
        <f t="shared" si="1"/>
        <v>0.68135887433637954</v>
      </c>
      <c r="F58" s="9">
        <f t="shared" si="7"/>
        <v>-65.119950935292437</v>
      </c>
      <c r="G58" s="9"/>
      <c r="H58" s="9">
        <f t="shared" si="9"/>
        <v>4.5930738217096136</v>
      </c>
      <c r="I58" s="9">
        <f t="shared" si="2"/>
        <v>-65.314960379911824</v>
      </c>
      <c r="J58" s="9">
        <f t="shared" si="10"/>
        <v>0.3430949765654967</v>
      </c>
      <c r="K58" s="9">
        <f t="shared" si="8"/>
        <v>-0.33746404580223505</v>
      </c>
      <c r="L58" s="9">
        <f t="shared" si="11"/>
        <v>5.6309307632616545E-3</v>
      </c>
      <c r="M58" s="9">
        <f t="shared" si="12"/>
        <v>5.6571406902882395E-3</v>
      </c>
    </row>
    <row r="59" spans="1:13" x14ac:dyDescent="0.3">
      <c r="A59" s="10">
        <v>41859</v>
      </c>
      <c r="B59" s="9">
        <v>4370.8999020000001</v>
      </c>
      <c r="C59" s="11">
        <f t="shared" si="6"/>
        <v>8.2883353790240127E-3</v>
      </c>
      <c r="D59" s="9">
        <f t="shared" si="0"/>
        <v>103.45129136745324</v>
      </c>
      <c r="E59" s="9">
        <f t="shared" si="1"/>
        <v>0.72312097445316059</v>
      </c>
      <c r="F59" s="9">
        <f t="shared" si="7"/>
        <v>-69.442970339947891</v>
      </c>
      <c r="G59" s="9"/>
      <c r="H59" s="9">
        <f t="shared" si="9"/>
        <v>5.1766873648847538</v>
      </c>
      <c r="I59" s="9">
        <f t="shared" si="2"/>
        <v>-69.631111257185864</v>
      </c>
      <c r="J59" s="9">
        <f t="shared" si="10"/>
        <v>-0.58361354317514014</v>
      </c>
      <c r="K59" s="9">
        <f t="shared" si="8"/>
        <v>0.5767370015422989</v>
      </c>
      <c r="L59" s="9">
        <f t="shared" si="11"/>
        <v>-6.8765416328412377E-3</v>
      </c>
      <c r="M59" s="9">
        <f t="shared" si="12"/>
        <v>-6.9082655165759463E-3</v>
      </c>
    </row>
    <row r="60" spans="1:13" x14ac:dyDescent="0.3">
      <c r="A60" s="10">
        <v>41862</v>
      </c>
      <c r="B60" s="9">
        <v>4401.330078</v>
      </c>
      <c r="C60" s="11">
        <f t="shared" si="6"/>
        <v>6.9619933382770579E-3</v>
      </c>
      <c r="D60" s="9">
        <f t="shared" si="0"/>
        <v>104.17151856878959</v>
      </c>
      <c r="E60" s="9">
        <f t="shared" si="1"/>
        <v>0.75780182168594235</v>
      </c>
      <c r="F60" s="9">
        <f t="shared" si="7"/>
        <v>-73.064288851318736</v>
      </c>
      <c r="G60" s="9"/>
      <c r="H60" s="9">
        <f t="shared" si="9"/>
        <v>5.6699541917148251</v>
      </c>
      <c r="I60" s="9">
        <f t="shared" si="2"/>
        <v>-73.271412347504906</v>
      </c>
      <c r="J60" s="9">
        <f t="shared" si="10"/>
        <v>-0.49326682683007128</v>
      </c>
      <c r="K60" s="9">
        <f t="shared" si="8"/>
        <v>0.51222620889278858</v>
      </c>
      <c r="L60" s="9">
        <f t="shared" si="11"/>
        <v>1.89593820627173E-2</v>
      </c>
      <c r="M60" s="9">
        <f t="shared" si="12"/>
        <v>1.9044500204645595E-2</v>
      </c>
    </row>
    <row r="61" spans="1:13" x14ac:dyDescent="0.3">
      <c r="A61" s="10">
        <v>41863</v>
      </c>
      <c r="B61" s="9">
        <v>4389.25</v>
      </c>
      <c r="C61" s="11">
        <f t="shared" si="6"/>
        <v>-2.7446425934701184E-3</v>
      </c>
      <c r="D61" s="9">
        <f t="shared" si="0"/>
        <v>103.88560498189922</v>
      </c>
      <c r="E61" s="9">
        <f t="shared" si="1"/>
        <v>0.74571289736426327</v>
      </c>
      <c r="F61" s="9">
        <f t="shared" si="7"/>
        <v>-71.811426338287248</v>
      </c>
      <c r="G61" s="9"/>
      <c r="H61" s="9">
        <f t="shared" si="9"/>
        <v>5.441698067218006</v>
      </c>
      <c r="I61" s="9">
        <f t="shared" si="2"/>
        <v>-72.027137418273412</v>
      </c>
      <c r="J61" s="9">
        <f t="shared" si="10"/>
        <v>0.22825612449681909</v>
      </c>
      <c r="K61" s="9">
        <f t="shared" si="8"/>
        <v>-0.21967705279624211</v>
      </c>
      <c r="L61" s="9">
        <f t="shared" si="11"/>
        <v>8.579071700576979E-3</v>
      </c>
      <c r="M61" s="9">
        <f t="shared" si="12"/>
        <v>8.6172333010859116E-3</v>
      </c>
    </row>
    <row r="62" spans="1:13" x14ac:dyDescent="0.3">
      <c r="A62" s="10">
        <v>41864</v>
      </c>
      <c r="B62" s="9">
        <v>4434.1298829999996</v>
      </c>
      <c r="C62" s="11">
        <f t="shared" si="6"/>
        <v>1.022495483283012E-2</v>
      </c>
      <c r="D62" s="9">
        <f t="shared" si="0"/>
        <v>104.94783060062038</v>
      </c>
      <c r="E62" s="9">
        <f t="shared" si="1"/>
        <v>0.79212670343703961</v>
      </c>
      <c r="F62" s="9">
        <f t="shared" si="7"/>
        <v>-76.685405810691051</v>
      </c>
      <c r="G62" s="9"/>
      <c r="H62" s="9">
        <f t="shared" si="9"/>
        <v>6.2458786341381298</v>
      </c>
      <c r="I62" s="9">
        <f t="shared" si="2"/>
        <v>-76.886100452400171</v>
      </c>
      <c r="J62" s="9">
        <f t="shared" si="10"/>
        <v>-0.80418056692012385</v>
      </c>
      <c r="K62" s="9">
        <f t="shared" si="8"/>
        <v>0.78915526362200439</v>
      </c>
      <c r="L62" s="9">
        <f t="shared" si="11"/>
        <v>-1.5025303298119463E-2</v>
      </c>
      <c r="M62" s="9">
        <f t="shared" si="12"/>
        <v>-1.5091518944437327E-2</v>
      </c>
    </row>
    <row r="63" spans="1:13" x14ac:dyDescent="0.3">
      <c r="A63" s="10">
        <v>41865</v>
      </c>
      <c r="B63" s="9">
        <v>4453</v>
      </c>
      <c r="C63" s="11">
        <f t="shared" si="6"/>
        <v>4.2556527431337745E-3</v>
      </c>
      <c r="D63" s="9">
        <f t="shared" si="0"/>
        <v>105.39445212380186</v>
      </c>
      <c r="E63" s="9">
        <f t="shared" si="1"/>
        <v>0.81054011357719791</v>
      </c>
      <c r="F63" s="9">
        <f t="shared" si="7"/>
        <v>-78.62922860393401</v>
      </c>
      <c r="G63" s="9"/>
      <c r="H63" s="9">
        <f t="shared" si="9"/>
        <v>6.5913318993400134</v>
      </c>
      <c r="I63" s="9">
        <f t="shared" si="2"/>
        <v>-78.835099295492881</v>
      </c>
      <c r="J63" s="9">
        <f t="shared" si="10"/>
        <v>-0.34545326520188357</v>
      </c>
      <c r="K63" s="9">
        <f t="shared" si="8"/>
        <v>0.35062106715717467</v>
      </c>
      <c r="L63" s="9">
        <f t="shared" si="11"/>
        <v>5.1678019552910959E-3</v>
      </c>
      <c r="M63" s="9">
        <f t="shared" si="12"/>
        <v>5.1903628539249746E-3</v>
      </c>
    </row>
    <row r="64" spans="1:13" x14ac:dyDescent="0.3">
      <c r="A64" s="10">
        <v>41866</v>
      </c>
      <c r="B64" s="9">
        <v>4464.9301759999998</v>
      </c>
      <c r="C64" s="11">
        <f t="shared" si="6"/>
        <v>2.6791322703794852E-3</v>
      </c>
      <c r="D64" s="9">
        <f t="shared" si="0"/>
        <v>105.67681780160569</v>
      </c>
      <c r="E64" s="9">
        <f t="shared" si="1"/>
        <v>0.82202789472174143</v>
      </c>
      <c r="F64" s="9">
        <f t="shared" si="7"/>
        <v>-79.846452163450721</v>
      </c>
      <c r="G64" s="9"/>
      <c r="H64" s="9">
        <f t="shared" si="9"/>
        <v>6.8096515857190063</v>
      </c>
      <c r="I64" s="9">
        <f t="shared" si="2"/>
        <v>-80.059640472627962</v>
      </c>
      <c r="J64" s="9">
        <f t="shared" si="10"/>
        <v>-0.21831968637899291</v>
      </c>
      <c r="K64" s="9">
        <f t="shared" si="8"/>
        <v>0.22562884338413319</v>
      </c>
      <c r="L64" s="9">
        <f t="shared" si="11"/>
        <v>7.3091570051402877E-3</v>
      </c>
      <c r="M64" s="9">
        <f t="shared" si="12"/>
        <v>7.3407646638066369E-3</v>
      </c>
    </row>
    <row r="65" spans="1:13" x14ac:dyDescent="0.3">
      <c r="A65" s="10">
        <v>41869</v>
      </c>
      <c r="B65" s="9">
        <v>4508.3100590000004</v>
      </c>
      <c r="C65" s="11">
        <f t="shared" si="6"/>
        <v>9.7156912404088892E-3</v>
      </c>
      <c r="D65" s="9">
        <f t="shared" si="0"/>
        <v>106.70354113463505</v>
      </c>
      <c r="E65" s="9">
        <f t="shared" si="1"/>
        <v>0.86001024289082073</v>
      </c>
      <c r="F65" s="9">
        <f t="shared" si="7"/>
        <v>-83.909147903695541</v>
      </c>
      <c r="G65" s="9"/>
      <c r="H65" s="9">
        <f t="shared" si="9"/>
        <v>7.6387646785229304</v>
      </c>
      <c r="I65" s="9">
        <f t="shared" si="2"/>
        <v>-84.12737364998523</v>
      </c>
      <c r="J65" s="9">
        <f t="shared" si="10"/>
        <v>-0.82911309280392409</v>
      </c>
      <c r="K65" s="9">
        <f t="shared" si="8"/>
        <v>0.83412424480592373</v>
      </c>
      <c r="L65" s="9">
        <f t="shared" si="11"/>
        <v>5.0111520019996414E-3</v>
      </c>
      <c r="M65" s="9">
        <f t="shared" si="12"/>
        <v>5.0322017399792073E-3</v>
      </c>
    </row>
    <row r="66" spans="1:13" x14ac:dyDescent="0.3">
      <c r="A66" s="10">
        <v>41870</v>
      </c>
      <c r="B66" s="9">
        <v>4527.5097660000001</v>
      </c>
      <c r="C66" s="11">
        <f t="shared" si="6"/>
        <v>4.258737031999635E-3</v>
      </c>
      <c r="D66" s="9">
        <f t="shared" si="0"/>
        <v>107.1579634567106</v>
      </c>
      <c r="E66" s="9">
        <f t="shared" si="1"/>
        <v>0.87482614826444949</v>
      </c>
      <c r="F66" s="9">
        <f t="shared" si="7"/>
        <v>-85.500238542304544</v>
      </c>
      <c r="G66" s="9"/>
      <c r="H66" s="9">
        <f t="shared" si="9"/>
        <v>8.0220622205732894</v>
      </c>
      <c r="I66" s="9">
        <f t="shared" si="2"/>
        <v>-85.722526206123476</v>
      </c>
      <c r="J66" s="9">
        <f t="shared" si="10"/>
        <v>-0.38329754205035904</v>
      </c>
      <c r="K66" s="9">
        <f t="shared" si="8"/>
        <v>0.38735049121397414</v>
      </c>
      <c r="L66" s="9">
        <f t="shared" si="11"/>
        <v>4.0529491636150938E-3</v>
      </c>
      <c r="M66" s="9">
        <f t="shared" si="12"/>
        <v>4.0698066394702125E-3</v>
      </c>
    </row>
    <row r="67" spans="1:13" x14ac:dyDescent="0.3">
      <c r="A67" s="10">
        <v>41871</v>
      </c>
      <c r="B67" s="9">
        <v>4526.4799800000001</v>
      </c>
      <c r="C67" s="11">
        <f t="shared" si="6"/>
        <v>-2.2745086222306744E-4</v>
      </c>
      <c r="D67" s="9">
        <f t="shared" si="0"/>
        <v>107.13359028552831</v>
      </c>
      <c r="E67" s="9">
        <f t="shared" si="1"/>
        <v>0.87509255623665383</v>
      </c>
      <c r="F67" s="9">
        <f t="shared" si="7"/>
        <v>-85.532293565481197</v>
      </c>
      <c r="G67" s="9"/>
      <c r="H67" s="9">
        <f t="shared" si="9"/>
        <v>7.9900278389471877</v>
      </c>
      <c r="I67" s="9">
        <f t="shared" si="2"/>
        <v>-85.761779542826133</v>
      </c>
      <c r="J67" s="9">
        <f t="shared" si="10"/>
        <v>3.2034381626101727E-2</v>
      </c>
      <c r="K67" s="9">
        <f t="shared" si="8"/>
        <v>-2.4845203397289191E-2</v>
      </c>
      <c r="L67" s="9">
        <f t="shared" si="11"/>
        <v>7.1891782288125358E-3</v>
      </c>
      <c r="M67" s="9">
        <f t="shared" si="12"/>
        <v>7.2187835881398947E-3</v>
      </c>
    </row>
    <row r="68" spans="1:13" x14ac:dyDescent="0.3">
      <c r="A68" s="10">
        <v>41872</v>
      </c>
      <c r="B68" s="9">
        <v>4532.1000979999999</v>
      </c>
      <c r="C68" s="11">
        <f t="shared" si="6"/>
        <v>1.2416089378130466E-3</v>
      </c>
      <c r="D68" s="9">
        <f t="shared" si="0"/>
        <v>107.26660830876682</v>
      </c>
      <c r="E68" s="9">
        <f t="shared" si="1"/>
        <v>0.8799493460933947</v>
      </c>
      <c r="F68" s="9">
        <f t="shared" si="7"/>
        <v>-86.056780038672713</v>
      </c>
      <c r="G68" s="9"/>
      <c r="H68" s="9">
        <f t="shared" si="9"/>
        <v>8.0960991108174731</v>
      </c>
      <c r="I68" s="9">
        <f t="shared" si="2"/>
        <v>-86.293082728138188</v>
      </c>
      <c r="J68" s="9">
        <f t="shared" si="10"/>
        <v>-0.10607127187028542</v>
      </c>
      <c r="K68" s="9">
        <f t="shared" si="8"/>
        <v>0.11287855286646406</v>
      </c>
      <c r="L68" s="9">
        <f t="shared" si="11"/>
        <v>6.8072809961786385E-3</v>
      </c>
      <c r="M68" s="9">
        <f t="shared" si="12"/>
        <v>6.8350327879934045E-3</v>
      </c>
    </row>
    <row r="69" spans="1:13" x14ac:dyDescent="0.3">
      <c r="A69" s="10">
        <v>41873</v>
      </c>
      <c r="B69" s="9">
        <v>4538.5498049999997</v>
      </c>
      <c r="C69" s="11">
        <f t="shared" si="6"/>
        <v>1.4231166259646374E-3</v>
      </c>
      <c r="D69" s="9">
        <f t="shared" si="0"/>
        <v>107.41926120246188</v>
      </c>
      <c r="E69" s="9">
        <f t="shared" si="1"/>
        <v>0.88526888141896343</v>
      </c>
      <c r="F69" s="9">
        <f t="shared" si="7"/>
        <v>-86.631737245957723</v>
      </c>
      <c r="G69" s="9"/>
      <c r="H69" s="9">
        <f t="shared" si="9"/>
        <v>8.2203205540865412</v>
      </c>
      <c r="I69" s="9">
        <f t="shared" si="2"/>
        <v>-86.874608653468343</v>
      </c>
      <c r="J69" s="9">
        <f t="shared" si="10"/>
        <v>-0.12422144326906803</v>
      </c>
      <c r="K69" s="9">
        <f t="shared" si="8"/>
        <v>0.13078045004523176</v>
      </c>
      <c r="L69" s="9">
        <f t="shared" si="11"/>
        <v>6.5590067761637227E-3</v>
      </c>
      <c r="M69" s="9">
        <f t="shared" si="12"/>
        <v>6.5854757668774187E-3</v>
      </c>
    </row>
    <row r="70" spans="1:13" x14ac:dyDescent="0.3">
      <c r="A70" s="10">
        <v>41876</v>
      </c>
      <c r="B70" s="9">
        <v>4557.3500979999999</v>
      </c>
      <c r="C70" s="11">
        <f t="shared" si="6"/>
        <v>4.1423568778045476E-3</v>
      </c>
      <c r="D70" s="9">
        <f t="shared" si="0"/>
        <v>107.86423011791257</v>
      </c>
      <c r="E70" s="9">
        <f t="shared" si="1"/>
        <v>0.90018024049038892</v>
      </c>
      <c r="F70" s="9">
        <f t="shared" si="7"/>
        <v>-88.250820795770466</v>
      </c>
      <c r="G70" s="9"/>
      <c r="H70" s="9">
        <f t="shared" si="9"/>
        <v>8.5869788715417172</v>
      </c>
      <c r="I70" s="9">
        <f t="shared" si="2"/>
        <v>-88.510269736311471</v>
      </c>
      <c r="J70" s="9">
        <f t="shared" si="10"/>
        <v>-0.36665831745517607</v>
      </c>
      <c r="K70" s="9">
        <f t="shared" si="8"/>
        <v>0.38320590558943723</v>
      </c>
      <c r="L70" s="9">
        <f t="shared" si="11"/>
        <v>1.654758813426116E-2</v>
      </c>
      <c r="M70" s="9">
        <f t="shared" si="12"/>
        <v>1.6612318005809645E-2</v>
      </c>
    </row>
    <row r="71" spans="1:13" x14ac:dyDescent="0.3">
      <c r="A71" s="10">
        <v>41877</v>
      </c>
      <c r="B71" s="9">
        <v>4570.6401370000003</v>
      </c>
      <c r="C71" s="11">
        <f t="shared" si="6"/>
        <v>2.9161768822265352E-3</v>
      </c>
      <c r="D71" s="9">
        <f t="shared" si="0"/>
        <v>108.17878129220159</v>
      </c>
      <c r="E71" s="9">
        <f t="shared" si="1"/>
        <v>0.90896218592492528</v>
      </c>
      <c r="F71" s="9">
        <f t="shared" si="7"/>
        <v>-89.204467770836516</v>
      </c>
      <c r="G71" s="9"/>
      <c r="H71" s="9">
        <f t="shared" si="9"/>
        <v>8.8617195421458561</v>
      </c>
      <c r="I71" s="9">
        <f t="shared" si="2"/>
        <v>-89.468701971908104</v>
      </c>
      <c r="J71" s="9">
        <f t="shared" si="10"/>
        <v>-0.27474067060413887</v>
      </c>
      <c r="K71" s="9">
        <f t="shared" si="8"/>
        <v>0.27951526863041642</v>
      </c>
      <c r="L71" s="9">
        <f t="shared" si="11"/>
        <v>4.7745980262775545E-3</v>
      </c>
      <c r="M71" s="9">
        <f t="shared" si="12"/>
        <v>4.7930780351409788E-3</v>
      </c>
    </row>
    <row r="72" spans="1:13" x14ac:dyDescent="0.3">
      <c r="A72" s="10">
        <v>41878</v>
      </c>
      <c r="B72" s="9">
        <v>4569.6201170000004</v>
      </c>
      <c r="C72" s="11">
        <f t="shared" si="6"/>
        <v>-2.231678647685956E-4</v>
      </c>
      <c r="D72" s="9">
        <f t="shared" si="0"/>
        <v>108.15463926456734</v>
      </c>
      <c r="E72" s="9">
        <f t="shared" si="1"/>
        <v>0.90939046986310823</v>
      </c>
      <c r="F72" s="9">
        <f t="shared" si="7"/>
        <v>-89.254454678033667</v>
      </c>
      <c r="G72" s="9"/>
      <c r="H72" s="9">
        <f t="shared" si="9"/>
        <v>8.8301208271984972</v>
      </c>
      <c r="I72" s="9">
        <f t="shared" si="2"/>
        <v>-89.524677391481362</v>
      </c>
      <c r="J72" s="9">
        <f t="shared" si="10"/>
        <v>3.1598714947358886E-2</v>
      </c>
      <c r="K72" s="9">
        <f t="shared" si="8"/>
        <v>-2.5621061734168529E-2</v>
      </c>
      <c r="L72" s="9">
        <f t="shared" si="11"/>
        <v>5.9776532131903572E-3</v>
      </c>
      <c r="M72" s="9">
        <f t="shared" si="12"/>
        <v>6.00054302608625E-3</v>
      </c>
    </row>
    <row r="73" spans="1:13" x14ac:dyDescent="0.3">
      <c r="A73" s="10">
        <v>41879</v>
      </c>
      <c r="B73" s="9">
        <v>4557.7001950000003</v>
      </c>
      <c r="C73" s="11">
        <f t="shared" si="6"/>
        <v>-2.6085148644315725E-3</v>
      </c>
      <c r="D73" s="9">
        <f t="shared" ref="D73:D136" si="13">B73/B$8*100</f>
        <v>107.87251628038848</v>
      </c>
      <c r="E73" s="9">
        <f t="shared" ref="E73:E136" si="14">Bscall_delta((B$2-A73)/365,E$2,D73,B$4,E$3)</f>
        <v>0.90346657743109071</v>
      </c>
      <c r="F73" s="9">
        <f t="shared" si="7"/>
        <v>-88.61909756187643</v>
      </c>
      <c r="G73" s="9"/>
      <c r="H73" s="9">
        <f t="shared" si="9"/>
        <v>8.564594782885484</v>
      </c>
      <c r="I73" s="9">
        <f t="shared" ref="I73:I136" si="15">H73-E73*D73</f>
        <v>-88.894618299836708</v>
      </c>
      <c r="J73" s="9">
        <f t="shared" ref="J73:J104" si="16">-(H73-H72)</f>
        <v>0.26552604431301319</v>
      </c>
      <c r="K73" s="9">
        <f t="shared" si="8"/>
        <v>-0.26023912507164398</v>
      </c>
      <c r="L73" s="9">
        <f t="shared" ref="L73:L104" si="17">K73+J73</f>
        <v>5.2869192413692034E-3</v>
      </c>
      <c r="M73" s="9">
        <f t="shared" ref="M73:M104" si="18">L73*EXP($E$3*($A$137-A73)/365)</f>
        <v>5.3069459764178628E-3</v>
      </c>
    </row>
    <row r="74" spans="1:13" x14ac:dyDescent="0.3">
      <c r="A74" s="10">
        <v>41880</v>
      </c>
      <c r="B74" s="9">
        <v>4580.2700199999999</v>
      </c>
      <c r="C74" s="11">
        <f t="shared" ref="C74:C137" si="19">(B74-B73)/B73</f>
        <v>4.9520205442121186E-3</v>
      </c>
      <c r="D74" s="9">
        <f t="shared" si="13"/>
        <v>108.40670319716483</v>
      </c>
      <c r="E74" s="9">
        <f t="shared" si="14"/>
        <v>0.91727749873170794</v>
      </c>
      <c r="F74" s="9">
        <f t="shared" ref="F74:F136" si="20">F73*EXP(E$3*(A74-A73)/365)-(E74-E73)*D74</f>
        <v>-90.11993596374775</v>
      </c>
      <c r="G74" s="9"/>
      <c r="H74" s="9">
        <f t="shared" si="9"/>
        <v>9.0413182410294652</v>
      </c>
      <c r="I74" s="9">
        <f t="shared" si="15"/>
        <v>-90.397711313416551</v>
      </c>
      <c r="J74" s="9">
        <f t="shared" si="16"/>
        <v>-0.4767234581439812</v>
      </c>
      <c r="K74" s="9">
        <f t="shared" ref="K74:K137" si="21">E73*(D74-D73)+I73*(EXP(E$3*(A74-A73)/365)-1)</f>
        <v>0.4789667468497768</v>
      </c>
      <c r="L74" s="9">
        <f t="shared" si="17"/>
        <v>2.2432887057955986E-3</v>
      </c>
      <c r="M74" s="9">
        <f t="shared" si="18"/>
        <v>2.2516936973427525E-3</v>
      </c>
    </row>
    <row r="75" spans="1:13" x14ac:dyDescent="0.3">
      <c r="A75" s="10">
        <v>41884</v>
      </c>
      <c r="B75" s="9">
        <v>4598.1899409999996</v>
      </c>
      <c r="C75" s="11">
        <f t="shared" si="19"/>
        <v>3.9124158448631602E-3</v>
      </c>
      <c r="D75" s="9">
        <f t="shared" si="13"/>
        <v>108.8308353004428</v>
      </c>
      <c r="E75" s="9">
        <f t="shared" si="14"/>
        <v>0.9303664544958451</v>
      </c>
      <c r="F75" s="9">
        <f t="shared" si="20"/>
        <v>-91.559233406493334</v>
      </c>
      <c r="G75" s="9"/>
      <c r="H75" s="9">
        <f t="shared" ref="H75:H136" si="22">BScall(($A$137-A75)/365,$E$2,D75,$B$4,$E$3)</f>
        <v>9.3966883485984631</v>
      </c>
      <c r="I75" s="9">
        <f t="shared" si="15"/>
        <v>-91.855870029695765</v>
      </c>
      <c r="J75" s="9">
        <f t="shared" si="16"/>
        <v>-0.35537010756899789</v>
      </c>
      <c r="K75" s="9">
        <f t="shared" si="21"/>
        <v>0.37418571564810377</v>
      </c>
      <c r="L75" s="9">
        <f t="shared" si="17"/>
        <v>1.8815608079105872E-2</v>
      </c>
      <c r="M75" s="9">
        <f t="shared" si="18"/>
        <v>1.8883000725795449E-2</v>
      </c>
    </row>
    <row r="76" spans="1:13" x14ac:dyDescent="0.3">
      <c r="A76" s="10">
        <v>41885</v>
      </c>
      <c r="B76" s="9">
        <v>4572.5600590000004</v>
      </c>
      <c r="C76" s="11">
        <f t="shared" si="19"/>
        <v>-5.5739067608906482E-3</v>
      </c>
      <c r="D76" s="9">
        <f t="shared" si="13"/>
        <v>108.22422237176828</v>
      </c>
      <c r="E76" s="9">
        <f t="shared" si="14"/>
        <v>0.91830579544559654</v>
      </c>
      <c r="F76" s="9">
        <f t="shared" si="20"/>
        <v>-90.2577407450283</v>
      </c>
      <c r="G76" s="9"/>
      <c r="H76" s="9">
        <f t="shared" si="22"/>
        <v>8.826720411840693</v>
      </c>
      <c r="I76" s="9">
        <f t="shared" si="15"/>
        <v>-90.556210199747099</v>
      </c>
      <c r="J76" s="9">
        <f t="shared" si="16"/>
        <v>0.56996793675777013</v>
      </c>
      <c r="K76" s="9">
        <f t="shared" si="21"/>
        <v>-0.56814729603806591</v>
      </c>
      <c r="L76" s="9">
        <f t="shared" si="17"/>
        <v>1.8206407197042251E-3</v>
      </c>
      <c r="M76" s="9">
        <f t="shared" si="18"/>
        <v>1.8270866970597959E-3</v>
      </c>
    </row>
    <row r="77" spans="1:13" x14ac:dyDescent="0.3">
      <c r="A77" s="10">
        <v>41886</v>
      </c>
      <c r="B77" s="9">
        <v>4562.2900390000004</v>
      </c>
      <c r="C77" s="11">
        <f t="shared" si="19"/>
        <v>-2.2460109583002266E-3</v>
      </c>
      <c r="D77" s="9">
        <f t="shared" si="13"/>
        <v>107.98114958236775</v>
      </c>
      <c r="E77" s="9">
        <f t="shared" si="14"/>
        <v>0.91364617442668761</v>
      </c>
      <c r="F77" s="9">
        <f t="shared" si="20"/>
        <v>-89.758298809228677</v>
      </c>
      <c r="G77" s="9"/>
      <c r="H77" s="9">
        <f t="shared" si="22"/>
        <v>8.5944676309431056</v>
      </c>
      <c r="I77" s="9">
        <f t="shared" si="15"/>
        <v>-90.062096595183107</v>
      </c>
      <c r="J77" s="9">
        <f t="shared" si="16"/>
        <v>0.23225278089758739</v>
      </c>
      <c r="K77" s="9">
        <f t="shared" si="21"/>
        <v>-0.22693671578200439</v>
      </c>
      <c r="L77" s="9">
        <f t="shared" si="17"/>
        <v>5.3160651155829963E-3</v>
      </c>
      <c r="M77" s="9">
        <f t="shared" si="18"/>
        <v>5.334667403464383E-3</v>
      </c>
    </row>
    <row r="78" spans="1:13" x14ac:dyDescent="0.3">
      <c r="A78" s="10">
        <v>41887</v>
      </c>
      <c r="B78" s="9">
        <v>4582.8999020000001</v>
      </c>
      <c r="C78" s="11">
        <f t="shared" si="19"/>
        <v>4.5174381338800446E-3</v>
      </c>
      <c r="D78" s="9">
        <f t="shared" si="13"/>
        <v>108.46894774523135</v>
      </c>
      <c r="E78" s="9">
        <f t="shared" si="14"/>
        <v>0.9258994729195914</v>
      </c>
      <c r="F78" s="9">
        <f t="shared" si="20"/>
        <v>-91.091089976169698</v>
      </c>
      <c r="G78" s="9"/>
      <c r="H78" s="9">
        <f t="shared" si="22"/>
        <v>9.0337365043263382</v>
      </c>
      <c r="I78" s="9">
        <f t="shared" si="15"/>
        <v>-91.39760504112607</v>
      </c>
      <c r="J78" s="9">
        <f t="shared" si="16"/>
        <v>-0.43926887338323262</v>
      </c>
      <c r="K78" s="9">
        <f t="shared" si="21"/>
        <v>0.44197366728811738</v>
      </c>
      <c r="L78" s="9">
        <f t="shared" si="17"/>
        <v>2.7047939048847613E-3</v>
      </c>
      <c r="M78" s="9">
        <f t="shared" si="18"/>
        <v>2.7141471362976915E-3</v>
      </c>
    </row>
    <row r="79" spans="1:13" x14ac:dyDescent="0.3">
      <c r="A79" s="10">
        <v>41890</v>
      </c>
      <c r="B79" s="9">
        <v>4592.2900390000004</v>
      </c>
      <c r="C79" s="11">
        <f t="shared" si="19"/>
        <v>2.0489509264434119E-3</v>
      </c>
      <c r="D79" s="9">
        <f t="shared" si="13"/>
        <v>108.69119529620428</v>
      </c>
      <c r="E79" s="9">
        <f t="shared" si="14"/>
        <v>0.93372082827665837</v>
      </c>
      <c r="F79" s="9">
        <f t="shared" si="20"/>
        <v>-91.952433539432803</v>
      </c>
      <c r="G79" s="9"/>
      <c r="H79" s="9">
        <f t="shared" si="22"/>
        <v>9.2133219410314009</v>
      </c>
      <c r="I79" s="9">
        <f t="shared" si="15"/>
        <v>-92.27391095732051</v>
      </c>
      <c r="J79" s="9">
        <f t="shared" si="16"/>
        <v>-0.17958543670506266</v>
      </c>
      <c r="K79" s="9">
        <f t="shared" si="21"/>
        <v>0.19450999777823602</v>
      </c>
      <c r="L79" s="9">
        <f t="shared" si="17"/>
        <v>1.4924561073173359E-2</v>
      </c>
      <c r="M79" s="9">
        <f t="shared" si="18"/>
        <v>1.497432424044998E-2</v>
      </c>
    </row>
    <row r="80" spans="1:13" x14ac:dyDescent="0.3">
      <c r="A80" s="10">
        <v>41891</v>
      </c>
      <c r="B80" s="9">
        <v>4552.2900390000004</v>
      </c>
      <c r="C80" s="11">
        <f t="shared" si="19"/>
        <v>-8.7102512385542289E-3</v>
      </c>
      <c r="D80" s="9">
        <f t="shared" si="13"/>
        <v>107.74446767775558</v>
      </c>
      <c r="E80" s="9">
        <f t="shared" si="14"/>
        <v>0.91349696026722227</v>
      </c>
      <c r="F80" s="9">
        <f t="shared" si="20"/>
        <v>-89.777202591151678</v>
      </c>
      <c r="G80" s="9"/>
      <c r="H80" s="9">
        <f t="shared" si="22"/>
        <v>8.3291829014939669</v>
      </c>
      <c r="I80" s="9">
        <f t="shared" si="15"/>
        <v>-90.095060807745739</v>
      </c>
      <c r="J80" s="9">
        <f t="shared" si="16"/>
        <v>0.884139039537434</v>
      </c>
      <c r="K80" s="9">
        <f t="shared" si="21"/>
        <v>-0.88777145250328493</v>
      </c>
      <c r="L80" s="9">
        <f t="shared" si="17"/>
        <v>-3.6324129658509285E-3</v>
      </c>
      <c r="M80" s="9">
        <f t="shared" si="18"/>
        <v>-3.6443747979759684E-3</v>
      </c>
    </row>
    <row r="81" spans="1:13" x14ac:dyDescent="0.3">
      <c r="A81" s="10">
        <v>41892</v>
      </c>
      <c r="B81" s="9">
        <v>4586.5200199999999</v>
      </c>
      <c r="C81" s="11">
        <f t="shared" si="19"/>
        <v>7.5192882498143244E-3</v>
      </c>
      <c r="D81" s="9">
        <f t="shared" si="13"/>
        <v>108.55462938754744</v>
      </c>
      <c r="E81" s="9">
        <f t="shared" si="14"/>
        <v>0.93308875956906323</v>
      </c>
      <c r="F81" s="9">
        <f t="shared" si="20"/>
        <v>-91.907672653289467</v>
      </c>
      <c r="G81" s="9"/>
      <c r="H81" s="9">
        <f t="shared" si="22"/>
        <v>9.0680223454270799</v>
      </c>
      <c r="I81" s="9">
        <f t="shared" si="15"/>
        <v>-92.223082135278929</v>
      </c>
      <c r="J81" s="9">
        <f t="shared" si="16"/>
        <v>-0.73883944393311296</v>
      </c>
      <c r="K81" s="9">
        <f t="shared" si="21"/>
        <v>0.73637764639367753</v>
      </c>
      <c r="L81" s="9">
        <f t="shared" si="17"/>
        <v>-2.4617975394354286E-3</v>
      </c>
      <c r="M81" s="9">
        <f t="shared" si="18"/>
        <v>-2.4698029386593908E-3</v>
      </c>
    </row>
    <row r="82" spans="1:13" x14ac:dyDescent="0.3">
      <c r="A82" s="10">
        <v>41893</v>
      </c>
      <c r="B82" s="9">
        <v>4591.8100590000004</v>
      </c>
      <c r="C82" s="11">
        <f t="shared" si="19"/>
        <v>1.153388402739477E-3</v>
      </c>
      <c r="D82" s="9">
        <f t="shared" si="13"/>
        <v>108.67983503814671</v>
      </c>
      <c r="E82" s="9">
        <f t="shared" si="14"/>
        <v>0.93670425896626641</v>
      </c>
      <c r="F82" s="9">
        <f t="shared" si="20"/>
        <v>-92.304381636612533</v>
      </c>
      <c r="G82" s="9"/>
      <c r="H82" s="9">
        <f t="shared" si="22"/>
        <v>9.1761988487592561</v>
      </c>
      <c r="I82" s="9">
        <f t="shared" si="15"/>
        <v>-92.624665495224036</v>
      </c>
      <c r="J82" s="9">
        <f t="shared" si="16"/>
        <v>-0.10817650333217621</v>
      </c>
      <c r="K82" s="9">
        <f t="shared" si="21"/>
        <v>0.11303791765436061</v>
      </c>
      <c r="L82" s="9">
        <f t="shared" si="17"/>
        <v>4.8614143221843986E-3</v>
      </c>
      <c r="M82" s="9">
        <f t="shared" si="18"/>
        <v>4.8770224883654557E-3</v>
      </c>
    </row>
    <row r="83" spans="1:13" x14ac:dyDescent="0.3">
      <c r="A83" s="10">
        <v>41894</v>
      </c>
      <c r="B83" s="9">
        <v>4567.6000979999999</v>
      </c>
      <c r="C83" s="11">
        <f t="shared" si="19"/>
        <v>-5.2724221361353293E-3</v>
      </c>
      <c r="D83" s="9">
        <f t="shared" si="13"/>
        <v>108.10682907014004</v>
      </c>
      <c r="E83" s="9">
        <f t="shared" si="14"/>
        <v>0.9256621516690382</v>
      </c>
      <c r="F83" s="9">
        <f t="shared" si="20"/>
        <v>-91.114447839155332</v>
      </c>
      <c r="G83" s="9"/>
      <c r="H83" s="9">
        <f t="shared" si="22"/>
        <v>8.6334497601078226</v>
      </c>
      <c r="I83" s="9">
        <f t="shared" si="15"/>
        <v>-91.436950247074932</v>
      </c>
      <c r="J83" s="9">
        <f t="shared" si="16"/>
        <v>0.54274908865143345</v>
      </c>
      <c r="K83" s="9">
        <f t="shared" si="21"/>
        <v>-0.54054370196415169</v>
      </c>
      <c r="L83" s="9">
        <f t="shared" si="17"/>
        <v>2.2053866872817629E-3</v>
      </c>
      <c r="M83" s="9">
        <f t="shared" si="18"/>
        <v>2.2123764299429088E-3</v>
      </c>
    </row>
    <row r="84" spans="1:13" x14ac:dyDescent="0.3">
      <c r="A84" s="10">
        <v>41897</v>
      </c>
      <c r="B84" s="9">
        <v>4518.8999020000001</v>
      </c>
      <c r="C84" s="11">
        <f t="shared" si="19"/>
        <v>-1.0662097152796712E-2</v>
      </c>
      <c r="D84" s="9">
        <f t="shared" si="13"/>
        <v>106.95418355571343</v>
      </c>
      <c r="E84" s="9">
        <f t="shared" si="14"/>
        <v>0.89956046606905049</v>
      </c>
      <c r="F84" s="9">
        <f t="shared" si="20"/>
        <v>-88.333997346961922</v>
      </c>
      <c r="G84" s="9"/>
      <c r="H84" s="9">
        <f t="shared" si="22"/>
        <v>7.5505959581337754</v>
      </c>
      <c r="I84" s="9">
        <f t="shared" si="15"/>
        <v>-88.661159249278583</v>
      </c>
      <c r="J84" s="9">
        <f t="shared" si="16"/>
        <v>1.0828538019740472</v>
      </c>
      <c r="K84" s="9">
        <f t="shared" si="21"/>
        <v>-1.0782340705989264</v>
      </c>
      <c r="L84" s="9">
        <f t="shared" si="17"/>
        <v>4.6197313751208391E-3</v>
      </c>
      <c r="M84" s="9">
        <f t="shared" si="18"/>
        <v>4.6338018051400561E-3</v>
      </c>
    </row>
    <row r="85" spans="1:13" x14ac:dyDescent="0.3">
      <c r="A85" s="10">
        <v>41898</v>
      </c>
      <c r="B85" s="9">
        <v>4552.7597660000001</v>
      </c>
      <c r="C85" s="11">
        <f t="shared" si="19"/>
        <v>7.4929440205157294E-3</v>
      </c>
      <c r="D85" s="9">
        <f t="shared" si="13"/>
        <v>107.75558526585635</v>
      </c>
      <c r="E85" s="9">
        <f t="shared" si="14"/>
        <v>0.92226332184235893</v>
      </c>
      <c r="F85" s="9">
        <f t="shared" si="20"/>
        <v>-90.783987096889049</v>
      </c>
      <c r="G85" s="9"/>
      <c r="H85" s="9">
        <f t="shared" si="22"/>
        <v>8.2706220809371196</v>
      </c>
      <c r="I85" s="9">
        <f t="shared" si="15"/>
        <v>-91.108401933419117</v>
      </c>
      <c r="J85" s="9">
        <f t="shared" si="16"/>
        <v>-0.72002612280334422</v>
      </c>
      <c r="K85" s="9">
        <f t="shared" si="21"/>
        <v>0.71726561173078751</v>
      </c>
      <c r="L85" s="9">
        <f t="shared" si="17"/>
        <v>-2.7605110725567039E-3</v>
      </c>
      <c r="M85" s="9">
        <f t="shared" si="18"/>
        <v>-2.7688050405058227E-3</v>
      </c>
    </row>
    <row r="86" spans="1:13" x14ac:dyDescent="0.3">
      <c r="A86" s="10">
        <v>41899</v>
      </c>
      <c r="B86" s="9">
        <v>4562.1899409999996</v>
      </c>
      <c r="C86" s="11">
        <f t="shared" si="19"/>
        <v>2.0713095978452528E-3</v>
      </c>
      <c r="D86" s="9">
        <f t="shared" si="13"/>
        <v>107.97878044383896</v>
      </c>
      <c r="E86" s="9">
        <f t="shared" si="14"/>
        <v>0.92874510273066713</v>
      </c>
      <c r="F86" s="9">
        <f t="shared" si="20"/>
        <v>-91.487612817759867</v>
      </c>
      <c r="G86" s="9"/>
      <c r="H86" s="9">
        <f t="shared" si="22"/>
        <v>8.4676150773784382</v>
      </c>
      <c r="I86" s="9">
        <f t="shared" si="15"/>
        <v>-91.817148458666921</v>
      </c>
      <c r="J86" s="9">
        <f t="shared" si="16"/>
        <v>-0.19699299644131862</v>
      </c>
      <c r="K86" s="9">
        <f t="shared" si="21"/>
        <v>0.20210046842779059</v>
      </c>
      <c r="L86" s="9">
        <f t="shared" si="17"/>
        <v>5.107471986471962E-3</v>
      </c>
      <c r="M86" s="9">
        <f t="shared" si="18"/>
        <v>5.1226068866391831E-3</v>
      </c>
    </row>
    <row r="87" spans="1:13" x14ac:dyDescent="0.3">
      <c r="A87" s="10">
        <v>41900</v>
      </c>
      <c r="B87" s="9">
        <v>4593.4301759999998</v>
      </c>
      <c r="C87" s="11">
        <f t="shared" si="19"/>
        <v>6.8476401473877638E-3</v>
      </c>
      <c r="D87" s="9">
        <f t="shared" si="13"/>
        <v>108.71818027587214</v>
      </c>
      <c r="E87" s="9">
        <f t="shared" si="14"/>
        <v>0.94516642881834445</v>
      </c>
      <c r="F87" s="9">
        <f t="shared" si="20"/>
        <v>-93.27666934989567</v>
      </c>
      <c r="G87" s="9"/>
      <c r="H87" s="9">
        <f t="shared" si="22"/>
        <v>9.1516288238802108</v>
      </c>
      <c r="I87" s="9">
        <f t="shared" si="15"/>
        <v>-93.605145375094835</v>
      </c>
      <c r="J87" s="9">
        <f t="shared" si="16"/>
        <v>-0.6840137465017726</v>
      </c>
      <c r="K87" s="9">
        <f t="shared" si="21"/>
        <v>0.68294058795502766</v>
      </c>
      <c r="L87" s="9">
        <f t="shared" si="17"/>
        <v>-1.0731585467449456E-3</v>
      </c>
      <c r="M87" s="9">
        <f t="shared" si="18"/>
        <v>-1.0762943902433086E-3</v>
      </c>
    </row>
    <row r="88" spans="1:13" x14ac:dyDescent="0.3">
      <c r="A88" s="10">
        <v>41901</v>
      </c>
      <c r="B88" s="9">
        <v>4579.7900390000004</v>
      </c>
      <c r="C88" s="11">
        <f t="shared" si="19"/>
        <v>-2.9694882641880856E-3</v>
      </c>
      <c r="D88" s="9">
        <f t="shared" si="13"/>
        <v>108.39534291543906</v>
      </c>
      <c r="E88" s="9">
        <f t="shared" si="14"/>
        <v>0.940086687935902</v>
      </c>
      <c r="F88" s="9">
        <f t="shared" si="20"/>
        <v>-92.729882461570512</v>
      </c>
      <c r="G88" s="9"/>
      <c r="H88" s="9">
        <f t="shared" si="22"/>
        <v>8.8386139556641972</v>
      </c>
      <c r="I88" s="9">
        <f t="shared" si="15"/>
        <v>-93.062404953387244</v>
      </c>
      <c r="J88" s="9">
        <f t="shared" si="16"/>
        <v>0.31301486821601365</v>
      </c>
      <c r="K88" s="9">
        <f t="shared" si="21"/>
        <v>-0.30898190089055277</v>
      </c>
      <c r="L88" s="9">
        <f t="shared" si="17"/>
        <v>4.0329673254608789E-3</v>
      </c>
      <c r="M88" s="9">
        <f t="shared" si="18"/>
        <v>4.0445857156584022E-3</v>
      </c>
    </row>
    <row r="89" spans="1:13" x14ac:dyDescent="0.3">
      <c r="A89" s="10">
        <v>41904</v>
      </c>
      <c r="B89" s="9">
        <v>4527.6899409999996</v>
      </c>
      <c r="C89" s="11">
        <f t="shared" si="19"/>
        <v>-1.1376088763094669E-2</v>
      </c>
      <c r="D89" s="9">
        <f t="shared" si="13"/>
        <v>107.16222787292695</v>
      </c>
      <c r="E89" s="9">
        <f t="shared" si="14"/>
        <v>0.91502893572896915</v>
      </c>
      <c r="F89" s="9">
        <f t="shared" si="20"/>
        <v>-90.056071065619335</v>
      </c>
      <c r="G89" s="9"/>
      <c r="H89" s="9">
        <f t="shared" si="22"/>
        <v>7.6652464619237959</v>
      </c>
      <c r="I89" s="9">
        <f t="shared" si="15"/>
        <v>-90.391292858985821</v>
      </c>
      <c r="J89" s="9">
        <f t="shared" si="16"/>
        <v>1.1733674937404013</v>
      </c>
      <c r="K89" s="9">
        <f t="shared" si="21"/>
        <v>-1.1707091906415523</v>
      </c>
      <c r="L89" s="9">
        <f t="shared" si="17"/>
        <v>2.6583030988489575E-3</v>
      </c>
      <c r="M89" s="9">
        <f t="shared" si="18"/>
        <v>2.6656326221630006E-3</v>
      </c>
    </row>
    <row r="90" spans="1:13" x14ac:dyDescent="0.3">
      <c r="A90" s="10">
        <v>41905</v>
      </c>
      <c r="B90" s="9">
        <v>4508.6899409999996</v>
      </c>
      <c r="C90" s="11">
        <f t="shared" si="19"/>
        <v>-4.1964004266165809E-3</v>
      </c>
      <c r="D90" s="9">
        <f t="shared" si="13"/>
        <v>106.71253225416382</v>
      </c>
      <c r="E90" s="9">
        <f t="shared" si="14"/>
        <v>0.90359354224493804</v>
      </c>
      <c r="F90" s="9">
        <f t="shared" si="20"/>
        <v>-88.83947228009059</v>
      </c>
      <c r="G90" s="9"/>
      <c r="H90" s="9">
        <f t="shared" si="22"/>
        <v>7.2456097016012642</v>
      </c>
      <c r="I90" s="9">
        <f t="shared" si="15"/>
        <v>-89.179145319865825</v>
      </c>
      <c r="J90" s="9">
        <f t="shared" si="16"/>
        <v>0.41963676032253172</v>
      </c>
      <c r="K90" s="9">
        <f t="shared" si="21"/>
        <v>-0.41519929043495202</v>
      </c>
      <c r="L90" s="9">
        <f t="shared" si="17"/>
        <v>4.4374698875797036E-3</v>
      </c>
      <c r="M90" s="9">
        <f t="shared" si="18"/>
        <v>4.4495221022045088E-3</v>
      </c>
    </row>
    <row r="91" spans="1:13" x14ac:dyDescent="0.3">
      <c r="A91" s="10">
        <v>41906</v>
      </c>
      <c r="B91" s="9">
        <v>4555.2202150000003</v>
      </c>
      <c r="C91" s="11">
        <f t="shared" si="19"/>
        <v>1.0320131703197252E-2</v>
      </c>
      <c r="D91" s="9">
        <f t="shared" si="13"/>
        <v>107.81381964140849</v>
      </c>
      <c r="E91" s="9">
        <f t="shared" si="14"/>
        <v>0.93398136917873797</v>
      </c>
      <c r="F91" s="9">
        <f t="shared" si="20"/>
        <v>-92.119350984662901</v>
      </c>
      <c r="G91" s="9"/>
      <c r="H91" s="9">
        <f t="shared" si="22"/>
        <v>8.2480531400628383</v>
      </c>
      <c r="I91" s="9">
        <f t="shared" si="15"/>
        <v>-92.448045745009381</v>
      </c>
      <c r="J91" s="9">
        <f t="shared" si="16"/>
        <v>-1.0024434384615741</v>
      </c>
      <c r="K91" s="9">
        <f t="shared" si="21"/>
        <v>0.99145119957996153</v>
      </c>
      <c r="L91" s="9">
        <f t="shared" si="17"/>
        <v>-1.0992238881612604E-2</v>
      </c>
      <c r="M91" s="9">
        <f t="shared" si="18"/>
        <v>-1.1021640963923125E-2</v>
      </c>
    </row>
    <row r="92" spans="1:13" x14ac:dyDescent="0.3">
      <c r="A92" s="10">
        <v>41907</v>
      </c>
      <c r="B92" s="9">
        <v>4466.75</v>
      </c>
      <c r="C92" s="11">
        <f t="shared" si="19"/>
        <v>-1.9421720756479448E-2</v>
      </c>
      <c r="D92" s="9">
        <f t="shared" si="13"/>
        <v>105.71988974264359</v>
      </c>
      <c r="E92" s="9">
        <f t="shared" si="14"/>
        <v>0.87310885208491951</v>
      </c>
      <c r="F92" s="9">
        <f t="shared" si="20"/>
        <v>-85.687700993689987</v>
      </c>
      <c r="G92" s="9"/>
      <c r="H92" s="9">
        <f t="shared" si="22"/>
        <v>6.3397256325657949</v>
      </c>
      <c r="I92" s="9">
        <f t="shared" si="15"/>
        <v>-85.96524594317799</v>
      </c>
      <c r="J92" s="9">
        <f t="shared" si="16"/>
        <v>1.9083275074970434</v>
      </c>
      <c r="K92" s="9">
        <f t="shared" si="21"/>
        <v>-1.9594908266369073</v>
      </c>
      <c r="L92" s="9">
        <f t="shared" si="17"/>
        <v>-5.1163319139863939E-2</v>
      </c>
      <c r="M92" s="9">
        <f t="shared" si="18"/>
        <v>-5.1298062797338791E-2</v>
      </c>
    </row>
    <row r="93" spans="1:13" x14ac:dyDescent="0.3">
      <c r="A93" s="10">
        <v>41908</v>
      </c>
      <c r="B93" s="9">
        <v>4512.1899409999996</v>
      </c>
      <c r="C93" s="11">
        <f t="shared" si="19"/>
        <v>1.0172931325908017E-2</v>
      </c>
      <c r="D93" s="9">
        <f t="shared" si="13"/>
        <v>106.79537092077808</v>
      </c>
      <c r="E93" s="9">
        <f t="shared" si="14"/>
        <v>0.91057558980931175</v>
      </c>
      <c r="F93" s="9">
        <f t="shared" si="20"/>
        <v>-89.692496630886353</v>
      </c>
      <c r="G93" s="9"/>
      <c r="H93" s="9">
        <f t="shared" si="22"/>
        <v>7.288061197404585</v>
      </c>
      <c r="I93" s="9">
        <f t="shared" si="15"/>
        <v>-89.957196667687143</v>
      </c>
      <c r="J93" s="9">
        <f t="shared" si="16"/>
        <v>-0.94833556483879011</v>
      </c>
      <c r="K93" s="9">
        <f t="shared" si="21"/>
        <v>0.93547924596037146</v>
      </c>
      <c r="L93" s="9">
        <f t="shared" si="17"/>
        <v>-1.2856318878418649E-2</v>
      </c>
      <c r="M93" s="9">
        <f t="shared" si="18"/>
        <v>-1.2889647542359849E-2</v>
      </c>
    </row>
    <row r="94" spans="1:13" x14ac:dyDescent="0.3">
      <c r="A94" s="10">
        <v>41911</v>
      </c>
      <c r="B94" s="9">
        <v>4505.8500979999999</v>
      </c>
      <c r="C94" s="11">
        <f t="shared" si="19"/>
        <v>-1.4050478997776185E-3</v>
      </c>
      <c r="D94" s="9">
        <f t="shared" si="13"/>
        <v>106.64531830915986</v>
      </c>
      <c r="E94" s="9">
        <f t="shared" si="14"/>
        <v>0.91084979348520123</v>
      </c>
      <c r="F94" s="9">
        <f t="shared" si="20"/>
        <v>-89.732797829904072</v>
      </c>
      <c r="G94" s="9"/>
      <c r="H94" s="9">
        <f t="shared" si="22"/>
        <v>7.1187917876062832</v>
      </c>
      <c r="I94" s="9">
        <f t="shared" si="15"/>
        <v>-90.019074370455527</v>
      </c>
      <c r="J94" s="9">
        <f t="shared" si="16"/>
        <v>0.16926940979830185</v>
      </c>
      <c r="K94" s="9">
        <f t="shared" si="21"/>
        <v>-0.14772554231053553</v>
      </c>
      <c r="L94" s="9">
        <f t="shared" si="17"/>
        <v>2.1543867487766322E-2</v>
      </c>
      <c r="M94" s="9">
        <f t="shared" si="18"/>
        <v>2.1597054899377795E-2</v>
      </c>
    </row>
    <row r="95" spans="1:13" x14ac:dyDescent="0.3">
      <c r="A95" s="10">
        <v>41912</v>
      </c>
      <c r="B95" s="9">
        <v>4493.3901370000003</v>
      </c>
      <c r="C95" s="11">
        <f t="shared" si="19"/>
        <v>-2.7652852911218989E-3</v>
      </c>
      <c r="D95" s="9">
        <f t="shared" si="13"/>
        <v>106.35041357907254</v>
      </c>
      <c r="E95" s="9">
        <f t="shared" si="14"/>
        <v>0.90335600071781075</v>
      </c>
      <c r="F95" s="9">
        <f t="shared" si="20"/>
        <v>-88.939517594816763</v>
      </c>
      <c r="G95" s="9"/>
      <c r="H95" s="9">
        <f t="shared" si="22"/>
        <v>6.8400940602484246</v>
      </c>
      <c r="I95" s="9">
        <f t="shared" si="15"/>
        <v>-89.232190225227697</v>
      </c>
      <c r="J95" s="9">
        <f t="shared" si="16"/>
        <v>0.27869772735785858</v>
      </c>
      <c r="K95" s="9">
        <f t="shared" si="21"/>
        <v>-0.27231340252946118</v>
      </c>
      <c r="L95" s="9">
        <f t="shared" si="17"/>
        <v>6.384324828397403E-3</v>
      </c>
      <c r="M95" s="9">
        <f t="shared" si="18"/>
        <v>6.3998234114788066E-3</v>
      </c>
    </row>
    <row r="96" spans="1:13" x14ac:dyDescent="0.3">
      <c r="A96" s="10">
        <v>41913</v>
      </c>
      <c r="B96" s="9">
        <v>4422.0898440000001</v>
      </c>
      <c r="C96" s="11">
        <f t="shared" si="19"/>
        <v>-1.5867817132745942E-2</v>
      </c>
      <c r="D96" s="9">
        <f t="shared" si="13"/>
        <v>104.66286466440791</v>
      </c>
      <c r="E96" s="9">
        <f t="shared" si="14"/>
        <v>0.8387167786766192</v>
      </c>
      <c r="F96" s="9">
        <f t="shared" si="20"/>
        <v>-82.177846570079964</v>
      </c>
      <c r="G96" s="9"/>
      <c r="H96" s="9">
        <f t="shared" si="22"/>
        <v>5.3537839229231379</v>
      </c>
      <c r="I96" s="9">
        <f t="shared" si="15"/>
        <v>-82.428716775476005</v>
      </c>
      <c r="J96" s="9">
        <f t="shared" si="16"/>
        <v>1.4863101373252867</v>
      </c>
      <c r="K96" s="9">
        <f t="shared" si="21"/>
        <v>-1.5281245902296554</v>
      </c>
      <c r="L96" s="9">
        <f t="shared" si="17"/>
        <v>-4.1814452904368693E-2</v>
      </c>
      <c r="M96" s="9">
        <f t="shared" si="18"/>
        <v>-4.1914239106508024E-2</v>
      </c>
    </row>
    <row r="97" spans="1:13" x14ac:dyDescent="0.3">
      <c r="A97" s="10">
        <v>41914</v>
      </c>
      <c r="B97" s="9">
        <v>4430.2001950000003</v>
      </c>
      <c r="C97" s="11">
        <f t="shared" si="19"/>
        <v>1.8340538718372237E-3</v>
      </c>
      <c r="D97" s="9">
        <f t="shared" si="13"/>
        <v>104.85482199658324</v>
      </c>
      <c r="E97" s="9">
        <f t="shared" si="14"/>
        <v>0.84937070348740629</v>
      </c>
      <c r="F97" s="9">
        <f t="shared" si="20"/>
        <v>-83.298339200851757</v>
      </c>
      <c r="G97" s="9"/>
      <c r="H97" s="9">
        <f t="shared" si="22"/>
        <v>5.5016083204297663</v>
      </c>
      <c r="I97" s="9">
        <f t="shared" si="15"/>
        <v>-83.559005602854896</v>
      </c>
      <c r="J97" s="9">
        <f t="shared" si="16"/>
        <v>-0.14782439750662846</v>
      </c>
      <c r="K97" s="9">
        <f t="shared" si="21"/>
        <v>0.15761028416740425</v>
      </c>
      <c r="L97" s="9">
        <f t="shared" si="17"/>
        <v>9.7858866607757888E-3</v>
      </c>
      <c r="M97" s="9">
        <f t="shared" si="18"/>
        <v>9.8088366344150444E-3</v>
      </c>
    </row>
    <row r="98" spans="1:13" x14ac:dyDescent="0.3">
      <c r="A98" s="10">
        <v>41915</v>
      </c>
      <c r="B98" s="9">
        <v>4475.6201170000004</v>
      </c>
      <c r="C98" s="11">
        <f t="shared" si="19"/>
        <v>1.0252340752289646E-2</v>
      </c>
      <c r="D98" s="9">
        <f t="shared" si="13"/>
        <v>105.9298293612129</v>
      </c>
      <c r="E98" s="9">
        <f t="shared" si="14"/>
        <v>0.89442038041386318</v>
      </c>
      <c r="F98" s="9">
        <f t="shared" si="20"/>
        <v>-88.073867080209396</v>
      </c>
      <c r="G98" s="9"/>
      <c r="H98" s="9">
        <f t="shared" si="22"/>
        <v>6.4268117924105495</v>
      </c>
      <c r="I98" s="9">
        <f t="shared" si="15"/>
        <v>-88.318986482021103</v>
      </c>
      <c r="J98" s="9">
        <f t="shared" si="16"/>
        <v>-0.92520347198078312</v>
      </c>
      <c r="K98" s="9">
        <f t="shared" si="21"/>
        <v>0.90964575925133073</v>
      </c>
      <c r="L98" s="9">
        <f t="shared" si="17"/>
        <v>-1.5557712729452389E-2</v>
      </c>
      <c r="M98" s="9">
        <f t="shared" si="18"/>
        <v>-1.5593558011470637E-2</v>
      </c>
    </row>
    <row r="99" spans="1:13" x14ac:dyDescent="0.3">
      <c r="A99" s="10">
        <v>41918</v>
      </c>
      <c r="B99" s="9">
        <v>4454.7998049999997</v>
      </c>
      <c r="C99" s="11">
        <f t="shared" si="19"/>
        <v>-4.6519390510641806E-3</v>
      </c>
      <c r="D99" s="9">
        <f t="shared" si="13"/>
        <v>105.4370502513349</v>
      </c>
      <c r="E99" s="9">
        <f t="shared" si="14"/>
        <v>0.88164780382153762</v>
      </c>
      <c r="F99" s="9">
        <f t="shared" si="20"/>
        <v>-86.738023371556437</v>
      </c>
      <c r="G99" s="9"/>
      <c r="H99" s="9">
        <f t="shared" si="22"/>
        <v>5.9516483047617053</v>
      </c>
      <c r="I99" s="9">
        <f t="shared" si="15"/>
        <v>-87.006695490748811</v>
      </c>
      <c r="J99" s="9">
        <f t="shared" si="16"/>
        <v>0.4751634876488442</v>
      </c>
      <c r="K99" s="9">
        <f t="shared" si="21"/>
        <v>-0.45164099233136507</v>
      </c>
      <c r="L99" s="9">
        <f t="shared" si="17"/>
        <v>2.3522495317479131E-2</v>
      </c>
      <c r="M99" s="9">
        <f t="shared" si="18"/>
        <v>2.3573785082021032E-2</v>
      </c>
    </row>
    <row r="100" spans="1:13" x14ac:dyDescent="0.3">
      <c r="A100" s="10">
        <v>41919</v>
      </c>
      <c r="B100" s="9">
        <v>4385.2001950000003</v>
      </c>
      <c r="C100" s="11">
        <f t="shared" si="19"/>
        <v>-1.5623510156815972E-2</v>
      </c>
      <c r="D100" s="9">
        <f t="shared" si="13"/>
        <v>103.78975342582845</v>
      </c>
      <c r="E100" s="9">
        <f t="shared" si="14"/>
        <v>0.80479017834507316</v>
      </c>
      <c r="F100" s="9">
        <f t="shared" si="20"/>
        <v>-78.764554024008163</v>
      </c>
      <c r="G100" s="9"/>
      <c r="H100" s="9">
        <f t="shared" si="22"/>
        <v>4.5441956828167855</v>
      </c>
      <c r="I100" s="9">
        <f t="shared" si="15"/>
        <v>-78.984778487146855</v>
      </c>
      <c r="J100" s="9">
        <f t="shared" si="16"/>
        <v>1.4074526219449197</v>
      </c>
      <c r="K100" s="9">
        <f t="shared" si="21"/>
        <v>-1.4559113195454472</v>
      </c>
      <c r="L100" s="9">
        <f t="shared" si="17"/>
        <v>-4.8458697600527456E-2</v>
      </c>
      <c r="M100" s="9">
        <f t="shared" si="18"/>
        <v>-4.8562363900762608E-2</v>
      </c>
    </row>
    <row r="101" spans="1:13" x14ac:dyDescent="0.3">
      <c r="A101" s="10">
        <v>41920</v>
      </c>
      <c r="B101" s="9">
        <v>4468.5898440000001</v>
      </c>
      <c r="C101" s="11">
        <f t="shared" si="19"/>
        <v>1.9016155544068547E-2</v>
      </c>
      <c r="D101" s="9">
        <f t="shared" si="13"/>
        <v>105.76343552085451</v>
      </c>
      <c r="E101" s="9">
        <f t="shared" si="14"/>
        <v>0.89792964940075448</v>
      </c>
      <c r="F101" s="9">
        <f t="shared" si="20"/>
        <v>-88.61854143144518</v>
      </c>
      <c r="G101" s="9"/>
      <c r="H101" s="9">
        <f t="shared" si="22"/>
        <v>6.2168797244865956</v>
      </c>
      <c r="I101" s="9">
        <f t="shared" si="15"/>
        <v>-88.751244852173613</v>
      </c>
      <c r="J101" s="9">
        <f t="shared" si="16"/>
        <v>-1.6726840416698101</v>
      </c>
      <c r="K101" s="9">
        <f t="shared" si="21"/>
        <v>1.5851539487531576</v>
      </c>
      <c r="L101" s="9">
        <f t="shared" si="17"/>
        <v>-8.753009291665248E-2</v>
      </c>
      <c r="M101" s="9">
        <f t="shared" si="18"/>
        <v>-8.7713738782645642E-2</v>
      </c>
    </row>
    <row r="102" spans="1:13" x14ac:dyDescent="0.3">
      <c r="A102" s="10">
        <v>41921</v>
      </c>
      <c r="B102" s="9">
        <v>4378.3398440000001</v>
      </c>
      <c r="C102" s="11">
        <f t="shared" si="19"/>
        <v>-2.0196528021290468E-2</v>
      </c>
      <c r="D102" s="9">
        <f t="shared" si="13"/>
        <v>103.62738133172964</v>
      </c>
      <c r="E102" s="9">
        <f t="shared" si="14"/>
        <v>0.79933673285380558</v>
      </c>
      <c r="F102" s="9">
        <f t="shared" si="20"/>
        <v>-78.405257604527861</v>
      </c>
      <c r="G102" s="9"/>
      <c r="H102" s="9">
        <f t="shared" si="22"/>
        <v>4.3811063008943147</v>
      </c>
      <c r="I102" s="9">
        <f t="shared" si="15"/>
        <v>-78.452066127005892</v>
      </c>
      <c r="J102" s="9">
        <f t="shared" si="16"/>
        <v>1.8357734235922809</v>
      </c>
      <c r="K102" s="9">
        <f t="shared" si="21"/>
        <v>-1.9216737755199678</v>
      </c>
      <c r="L102" s="9">
        <f t="shared" si="17"/>
        <v>-8.5900351927686858E-2</v>
      </c>
      <c r="M102" s="9">
        <f t="shared" si="18"/>
        <v>-8.6077040967808993E-2</v>
      </c>
    </row>
    <row r="103" spans="1:13" x14ac:dyDescent="0.3">
      <c r="A103" s="10">
        <v>41922</v>
      </c>
      <c r="B103" s="9">
        <v>4276.2402339999999</v>
      </c>
      <c r="C103" s="11">
        <f t="shared" si="19"/>
        <v>-2.3319251962571091E-2</v>
      </c>
      <c r="D103" s="9">
        <f t="shared" si="13"/>
        <v>101.2108683162336</v>
      </c>
      <c r="E103" s="9">
        <f t="shared" si="14"/>
        <v>0.62938190868236332</v>
      </c>
      <c r="F103" s="9">
        <f t="shared" si="20"/>
        <v>-61.207204475686666</v>
      </c>
      <c r="G103" s="9"/>
      <c r="H103" s="9">
        <f t="shared" si="22"/>
        <v>2.6245247039894144</v>
      </c>
      <c r="I103" s="9">
        <f t="shared" si="15"/>
        <v>-61.075764776281019</v>
      </c>
      <c r="J103" s="9">
        <f t="shared" si="16"/>
        <v>1.7565815969049003</v>
      </c>
      <c r="K103" s="9">
        <f t="shared" si="21"/>
        <v>-1.9348317424660246</v>
      </c>
      <c r="L103" s="9">
        <f t="shared" si="17"/>
        <v>-0.17825014556112428</v>
      </c>
      <c r="M103" s="9">
        <f t="shared" si="18"/>
        <v>-0.17860944927834987</v>
      </c>
    </row>
    <row r="104" spans="1:13" x14ac:dyDescent="0.3">
      <c r="A104" s="10">
        <v>41925</v>
      </c>
      <c r="B104" s="9">
        <v>4213.6601559999999</v>
      </c>
      <c r="C104" s="11">
        <f t="shared" si="19"/>
        <v>-1.463436911294913E-2</v>
      </c>
      <c r="D104" s="9">
        <f t="shared" si="13"/>
        <v>99.729711111051756</v>
      </c>
      <c r="E104" s="9">
        <f t="shared" si="14"/>
        <v>0.50148289742852514</v>
      </c>
      <c r="F104" s="9">
        <f t="shared" si="20"/>
        <v>-48.459419590843993</v>
      </c>
      <c r="G104" s="9"/>
      <c r="H104" s="9">
        <f t="shared" si="22"/>
        <v>1.7222663990796179</v>
      </c>
      <c r="I104" s="9">
        <f t="shared" si="15"/>
        <v>-48.290478088600395</v>
      </c>
      <c r="J104" s="9">
        <f t="shared" si="16"/>
        <v>0.90225830490979653</v>
      </c>
      <c r="K104" s="9">
        <f t="shared" si="21"/>
        <v>-0.93974390185432932</v>
      </c>
      <c r="L104" s="9">
        <f t="shared" si="17"/>
        <v>-3.7485596944532795E-2</v>
      </c>
      <c r="M104" s="9">
        <f t="shared" si="18"/>
        <v>-3.7556527150293617E-2</v>
      </c>
    </row>
    <row r="105" spans="1:13" x14ac:dyDescent="0.3">
      <c r="A105" s="10">
        <v>41926</v>
      </c>
      <c r="B105" s="9">
        <v>4227.169922</v>
      </c>
      <c r="C105" s="11">
        <f t="shared" si="19"/>
        <v>3.2061831044354703E-3</v>
      </c>
      <c r="D105" s="9">
        <f t="shared" si="13"/>
        <v>100.04946282582623</v>
      </c>
      <c r="E105" s="9">
        <f t="shared" si="14"/>
        <v>0.53005504335006082</v>
      </c>
      <c r="F105" s="9">
        <f t="shared" si="20"/>
        <v>-51.320038965993078</v>
      </c>
      <c r="G105" s="9"/>
      <c r="H105" s="9">
        <f t="shared" si="22"/>
        <v>1.8658585236644236</v>
      </c>
      <c r="I105" s="9">
        <f t="shared" si="15"/>
        <v>-51.165863831629196</v>
      </c>
      <c r="J105" s="9">
        <f t="shared" ref="J105:J137" si="23">-(H105-H104)</f>
        <v>-0.14359212458480575</v>
      </c>
      <c r="K105" s="9">
        <f t="shared" si="21"/>
        <v>0.15836543540864145</v>
      </c>
      <c r="L105" s="9">
        <f t="shared" ref="L105:L136" si="24">K105+J105</f>
        <v>1.4773310823835706E-2</v>
      </c>
      <c r="M105" s="9">
        <f t="shared" ref="M105:M136" si="25">L105*EXP($E$3*($A$137-A105)/365)</f>
        <v>1.48006566078455E-2</v>
      </c>
    </row>
    <row r="106" spans="1:13" x14ac:dyDescent="0.3">
      <c r="A106" s="10">
        <v>41927</v>
      </c>
      <c r="B106" s="9">
        <v>4215.3198240000002</v>
      </c>
      <c r="C106" s="11">
        <f t="shared" si="19"/>
        <v>-2.803317164594428E-3</v>
      </c>
      <c r="D106" s="9">
        <f t="shared" si="13"/>
        <v>99.768992449378146</v>
      </c>
      <c r="E106" s="9">
        <f t="shared" si="14"/>
        <v>0.50399337913230169</v>
      </c>
      <c r="F106" s="9">
        <f t="shared" si="20"/>
        <v>-48.722002071467557</v>
      </c>
      <c r="G106" s="9"/>
      <c r="H106" s="9">
        <f t="shared" si="22"/>
        <v>1.6992942203962254</v>
      </c>
      <c r="I106" s="9">
        <f t="shared" si="15"/>
        <v>-48.583617416790958</v>
      </c>
      <c r="J106" s="9">
        <f t="shared" si="23"/>
        <v>0.16656430326819827</v>
      </c>
      <c r="K106" s="9">
        <f t="shared" si="21"/>
        <v>-0.15076748748629037</v>
      </c>
      <c r="L106" s="9">
        <f t="shared" si="24"/>
        <v>1.5796815781907891E-2</v>
      </c>
      <c r="M106" s="9">
        <f t="shared" si="25"/>
        <v>1.5825405727811666E-2</v>
      </c>
    </row>
    <row r="107" spans="1:13" x14ac:dyDescent="0.3">
      <c r="A107" s="10">
        <v>41928</v>
      </c>
      <c r="B107" s="9">
        <v>4217.3901370000003</v>
      </c>
      <c r="C107" s="11">
        <f t="shared" si="19"/>
        <v>4.9114019491778638E-4</v>
      </c>
      <c r="D107" s="9">
        <f t="shared" si="13"/>
        <v>99.81799301177648</v>
      </c>
      <c r="E107" s="9">
        <f t="shared" si="14"/>
        <v>0.50803219352916007</v>
      </c>
      <c r="F107" s="9">
        <f t="shared" si="20"/>
        <v>-49.127150733909936</v>
      </c>
      <c r="G107" s="9"/>
      <c r="H107" s="9">
        <f t="shared" si="22"/>
        <v>1.702376857013169</v>
      </c>
      <c r="I107" s="9">
        <f t="shared" si="15"/>
        <v>-49.008377086438003</v>
      </c>
      <c r="J107" s="9">
        <f t="shared" si="23"/>
        <v>-3.0826366169436348E-3</v>
      </c>
      <c r="K107" s="9">
        <f t="shared" si="21"/>
        <v>2.2699330979073454E-2</v>
      </c>
      <c r="L107" s="9">
        <f t="shared" si="24"/>
        <v>1.961669436212982E-2</v>
      </c>
      <c r="M107" s="9">
        <f t="shared" si="25"/>
        <v>1.9651390126381986E-2</v>
      </c>
    </row>
    <row r="108" spans="1:13" x14ac:dyDescent="0.3">
      <c r="A108" s="10">
        <v>41929</v>
      </c>
      <c r="B108" s="9">
        <v>4258.4399409999996</v>
      </c>
      <c r="C108" s="11">
        <f t="shared" si="19"/>
        <v>9.7334613745741084E-3</v>
      </c>
      <c r="D108" s="9">
        <f t="shared" si="13"/>
        <v>100.78956759124411</v>
      </c>
      <c r="E108" s="9">
        <f t="shared" si="14"/>
        <v>0.59784944323351263</v>
      </c>
      <c r="F108" s="9">
        <f t="shared" si="20"/>
        <v>-58.181811459334497</v>
      </c>
      <c r="G108" s="9"/>
      <c r="H108" s="9">
        <f t="shared" si="22"/>
        <v>2.2177000966775871</v>
      </c>
      <c r="I108" s="9">
        <f t="shared" si="15"/>
        <v>-58.03928677149419</v>
      </c>
      <c r="J108" s="9">
        <f t="shared" si="23"/>
        <v>-0.51532323966441806</v>
      </c>
      <c r="K108" s="9">
        <f t="shared" si="21"/>
        <v>0.49157708050514232</v>
      </c>
      <c r="L108" s="9">
        <f t="shared" si="24"/>
        <v>-2.3746159159275748E-2</v>
      </c>
      <c r="M108" s="9">
        <f t="shared" si="25"/>
        <v>-2.3787181072853446E-2</v>
      </c>
    </row>
    <row r="109" spans="1:13" x14ac:dyDescent="0.3">
      <c r="A109" s="10">
        <v>41932</v>
      </c>
      <c r="B109" s="9">
        <v>4316.0698240000002</v>
      </c>
      <c r="C109" s="11">
        <f t="shared" si="19"/>
        <v>1.3533097518916147E-2</v>
      </c>
      <c r="D109" s="9">
        <f t="shared" si="13"/>
        <v>102.1535626383458</v>
      </c>
      <c r="E109" s="9">
        <f t="shared" si="14"/>
        <v>0.7197755020988974</v>
      </c>
      <c r="F109" s="9">
        <f t="shared" si="20"/>
        <v>-70.644166293124727</v>
      </c>
      <c r="G109" s="9"/>
      <c r="H109" s="9">
        <f t="shared" si="22"/>
        <v>3.0524636606741788</v>
      </c>
      <c r="I109" s="9">
        <f t="shared" si="15"/>
        <v>-70.475168178532343</v>
      </c>
      <c r="J109" s="9">
        <f t="shared" si="23"/>
        <v>-0.8347635639965918</v>
      </c>
      <c r="K109" s="9">
        <f t="shared" si="21"/>
        <v>0.80830770986458622</v>
      </c>
      <c r="L109" s="9">
        <f t="shared" si="24"/>
        <v>-2.6455854132005574E-2</v>
      </c>
      <c r="M109" s="9">
        <f t="shared" si="25"/>
        <v>-2.6498289978133114E-2</v>
      </c>
    </row>
    <row r="110" spans="1:13" x14ac:dyDescent="0.3">
      <c r="A110" s="10">
        <v>41933</v>
      </c>
      <c r="B110" s="9">
        <v>4419.4799800000001</v>
      </c>
      <c r="C110" s="11">
        <f t="shared" si="19"/>
        <v>2.395933342527869E-2</v>
      </c>
      <c r="D110" s="9">
        <f t="shared" si="13"/>
        <v>104.60109390617805</v>
      </c>
      <c r="E110" s="9">
        <f t="shared" si="14"/>
        <v>0.88028617126905107</v>
      </c>
      <c r="F110" s="9">
        <f t="shared" si="20"/>
        <v>-87.436661116506912</v>
      </c>
      <c r="G110" s="9"/>
      <c r="H110" s="9">
        <f t="shared" si="22"/>
        <v>5.0093611825390578</v>
      </c>
      <c r="I110" s="9">
        <f t="shared" si="15"/>
        <v>-87.069535282684896</v>
      </c>
      <c r="J110" s="9">
        <f t="shared" si="23"/>
        <v>-1.956897521864879</v>
      </c>
      <c r="K110" s="9">
        <f t="shared" si="21"/>
        <v>1.7587767479059633</v>
      </c>
      <c r="L110" s="9">
        <f t="shared" si="24"/>
        <v>-0.1981207739589157</v>
      </c>
      <c r="M110" s="9">
        <f t="shared" si="25"/>
        <v>-0.19843040975176326</v>
      </c>
    </row>
    <row r="111" spans="1:13" x14ac:dyDescent="0.3">
      <c r="A111" s="10">
        <v>41934</v>
      </c>
      <c r="B111" s="9">
        <v>4382.8500979999999</v>
      </c>
      <c r="C111" s="11">
        <f t="shared" si="19"/>
        <v>-8.2882787490305993E-3</v>
      </c>
      <c r="D111" s="9">
        <f t="shared" si="13"/>
        <v>103.73413088243011</v>
      </c>
      <c r="E111" s="9">
        <f t="shared" si="14"/>
        <v>0.83672983964110736</v>
      </c>
      <c r="F111" s="9">
        <f t="shared" si="20"/>
        <v>-82.921976271934085</v>
      </c>
      <c r="G111" s="9"/>
      <c r="H111" s="9">
        <f t="shared" si="22"/>
        <v>4.2484274732329359</v>
      </c>
      <c r="I111" s="9">
        <f t="shared" si="15"/>
        <v>-82.549015225332454</v>
      </c>
      <c r="J111" s="9">
        <f t="shared" si="23"/>
        <v>0.76093370930612192</v>
      </c>
      <c r="K111" s="9">
        <f t="shared" si="21"/>
        <v>-0.76675383441268319</v>
      </c>
      <c r="L111" s="9">
        <f t="shared" si="24"/>
        <v>-5.8201251065612691E-3</v>
      </c>
      <c r="M111" s="9">
        <f t="shared" si="25"/>
        <v>-5.8289816175012416E-3</v>
      </c>
    </row>
    <row r="112" spans="1:13" x14ac:dyDescent="0.3">
      <c r="A112" s="10">
        <v>41935</v>
      </c>
      <c r="B112" s="9">
        <v>4452.7900390000004</v>
      </c>
      <c r="C112" s="11">
        <f t="shared" si="19"/>
        <v>1.5957639306878376E-2</v>
      </c>
      <c r="D112" s="9">
        <f t="shared" si="13"/>
        <v>105.38948272686443</v>
      </c>
      <c r="E112" s="9">
        <f t="shared" si="14"/>
        <v>0.91881073939830138</v>
      </c>
      <c r="F112" s="9">
        <f t="shared" si="20"/>
        <v>-91.575847661573164</v>
      </c>
      <c r="G112" s="9"/>
      <c r="H112" s="9">
        <f t="shared" si="22"/>
        <v>5.6921248269800699</v>
      </c>
      <c r="I112" s="9">
        <f t="shared" si="15"/>
        <v>-91.140863722094736</v>
      </c>
      <c r="J112" s="9">
        <f t="shared" si="23"/>
        <v>-1.443697353747134</v>
      </c>
      <c r="K112" s="9">
        <f t="shared" si="21"/>
        <v>1.3816897883515931</v>
      </c>
      <c r="L112" s="9">
        <f t="shared" si="24"/>
        <v>-6.2007565395540976E-2</v>
      </c>
      <c r="M112" s="9">
        <f t="shared" si="25"/>
        <v>-6.2099370509465339E-2</v>
      </c>
    </row>
    <row r="113" spans="1:13" x14ac:dyDescent="0.3">
      <c r="A113" s="10">
        <v>41936</v>
      </c>
      <c r="B113" s="9">
        <v>4483.7202150000003</v>
      </c>
      <c r="C113" s="11">
        <f t="shared" si="19"/>
        <v>6.9462462251972902E-3</v>
      </c>
      <c r="D113" s="9">
        <f t="shared" si="13"/>
        <v>106.12154402343141</v>
      </c>
      <c r="E113" s="9">
        <f t="shared" si="14"/>
        <v>0.94458806069554924</v>
      </c>
      <c r="F113" s="9">
        <f t="shared" si="20"/>
        <v>-94.315140266755975</v>
      </c>
      <c r="G113" s="9"/>
      <c r="H113" s="9">
        <f t="shared" si="22"/>
        <v>6.3632388037874632</v>
      </c>
      <c r="I113" s="9">
        <f t="shared" si="15"/>
        <v>-93.877904663322965</v>
      </c>
      <c r="J113" s="9">
        <f t="shared" si="23"/>
        <v>-0.67111397680739326</v>
      </c>
      <c r="K113" s="9">
        <f t="shared" si="21"/>
        <v>0.66888018927242432</v>
      </c>
      <c r="L113" s="9">
        <f t="shared" si="24"/>
        <v>-2.2337875349689451E-3</v>
      </c>
      <c r="M113" s="9">
        <f t="shared" si="25"/>
        <v>-2.2370028288543464E-3</v>
      </c>
    </row>
    <row r="114" spans="1:13" x14ac:dyDescent="0.3">
      <c r="A114" s="10">
        <v>41939</v>
      </c>
      <c r="B114" s="9">
        <v>4485.9301759999998</v>
      </c>
      <c r="C114" s="11">
        <f t="shared" si="19"/>
        <v>4.9288557136243304E-4</v>
      </c>
      <c r="D114" s="9">
        <f t="shared" si="13"/>
        <v>106.17384980129128</v>
      </c>
      <c r="E114" s="9">
        <f t="shared" si="14"/>
        <v>0.95311519367265163</v>
      </c>
      <c r="F114" s="9">
        <f t="shared" si="20"/>
        <v>-95.232127413525419</v>
      </c>
      <c r="G114" s="9"/>
      <c r="H114" s="9">
        <f t="shared" si="22"/>
        <v>6.382382911216621</v>
      </c>
      <c r="I114" s="9">
        <f t="shared" si="15"/>
        <v>-94.813526505112137</v>
      </c>
      <c r="J114" s="9">
        <f t="shared" si="23"/>
        <v>-1.9144107429157842E-2</v>
      </c>
      <c r="K114" s="9">
        <f t="shared" si="21"/>
        <v>3.7832711531304519E-2</v>
      </c>
      <c r="L114" s="9">
        <f t="shared" si="24"/>
        <v>1.8688604102146678E-2</v>
      </c>
      <c r="M114" s="9">
        <f t="shared" si="25"/>
        <v>1.8713197063752591E-2</v>
      </c>
    </row>
    <row r="115" spans="1:13" x14ac:dyDescent="0.3">
      <c r="A115" s="10">
        <v>41940</v>
      </c>
      <c r="B115" s="9">
        <v>4564.2900390000004</v>
      </c>
      <c r="C115" s="11">
        <f t="shared" si="19"/>
        <v>1.7467918564410708E-2</v>
      </c>
      <c r="D115" s="9">
        <f t="shared" si="13"/>
        <v>108.02848596329019</v>
      </c>
      <c r="E115" s="9">
        <f t="shared" si="14"/>
        <v>0.98526841686861666</v>
      </c>
      <c r="F115" s="9">
        <f t="shared" si="20"/>
        <v>-98.70950516371559</v>
      </c>
      <c r="G115" s="9"/>
      <c r="H115" s="9">
        <f t="shared" si="22"/>
        <v>8.1765208939621434</v>
      </c>
      <c r="I115" s="9">
        <f t="shared" si="15"/>
        <v>-98.260534447802357</v>
      </c>
      <c r="J115" s="9">
        <f t="shared" si="23"/>
        <v>-1.7941379827455224</v>
      </c>
      <c r="K115" s="9">
        <f t="shared" si="21"/>
        <v>1.7637853783761133</v>
      </c>
      <c r="L115" s="9">
        <f t="shared" si="24"/>
        <v>-3.035260436940912E-2</v>
      </c>
      <c r="M115" s="9">
        <f t="shared" si="25"/>
        <v>-3.0391297397493144E-2</v>
      </c>
    </row>
    <row r="116" spans="1:13" x14ac:dyDescent="0.3">
      <c r="A116" s="10">
        <v>41941</v>
      </c>
      <c r="B116" s="9">
        <v>4549.2299800000001</v>
      </c>
      <c r="C116" s="11">
        <f t="shared" si="19"/>
        <v>-3.299540316526402E-3</v>
      </c>
      <c r="D116" s="9">
        <f t="shared" si="13"/>
        <v>107.67204161852102</v>
      </c>
      <c r="E116" s="9">
        <f t="shared" si="14"/>
        <v>0.98295787923740763</v>
      </c>
      <c r="F116" s="9">
        <f t="shared" si="20"/>
        <v>-98.464781498088627</v>
      </c>
      <c r="G116" s="9"/>
      <c r="H116" s="9">
        <f t="shared" si="22"/>
        <v>7.819162813441527</v>
      </c>
      <c r="I116" s="9">
        <f t="shared" si="15"/>
        <v>-98.017918869061788</v>
      </c>
      <c r="J116" s="9">
        <f t="shared" si="23"/>
        <v>0.35735808052061646</v>
      </c>
      <c r="K116" s="9">
        <f t="shared" si="21"/>
        <v>-0.35523154240375282</v>
      </c>
      <c r="L116" s="9">
        <f t="shared" si="24"/>
        <v>2.126538116863641E-3</v>
      </c>
      <c r="M116" s="9">
        <f t="shared" si="25"/>
        <v>2.1291614930031857E-3</v>
      </c>
    </row>
    <row r="117" spans="1:13" x14ac:dyDescent="0.3">
      <c r="A117" s="10">
        <v>41942</v>
      </c>
      <c r="B117" s="9">
        <v>4566.1401370000003</v>
      </c>
      <c r="C117" s="11">
        <f t="shared" si="19"/>
        <v>3.7171470939792437E-3</v>
      </c>
      <c r="D117" s="9">
        <f t="shared" si="13"/>
        <v>108.0722744351261</v>
      </c>
      <c r="E117" s="9">
        <f t="shared" si="14"/>
        <v>0.98805933756970787</v>
      </c>
      <c r="F117" s="9">
        <f t="shared" si="20"/>
        <v>-99.020154284014467</v>
      </c>
      <c r="G117" s="9"/>
      <c r="H117" s="9">
        <f t="shared" si="22"/>
        <v>8.2072369594900287</v>
      </c>
      <c r="I117" s="9">
        <f t="shared" si="15"/>
        <v>-98.574582928532337</v>
      </c>
      <c r="J117" s="9">
        <f t="shared" si="23"/>
        <v>-0.38807414604850177</v>
      </c>
      <c r="K117" s="9">
        <f t="shared" si="21"/>
        <v>0.38938378418820041</v>
      </c>
      <c r="L117" s="9">
        <f t="shared" si="24"/>
        <v>1.3096381396986434E-3</v>
      </c>
      <c r="M117" s="9">
        <f t="shared" si="25"/>
        <v>1.3111998717534948E-3</v>
      </c>
    </row>
    <row r="118" spans="1:13" x14ac:dyDescent="0.3">
      <c r="A118" s="10">
        <v>41943</v>
      </c>
      <c r="B118" s="9">
        <v>4630.7402339999999</v>
      </c>
      <c r="C118" s="11">
        <f t="shared" si="19"/>
        <v>1.4147637843292838E-2</v>
      </c>
      <c r="D118" s="9">
        <f t="shared" si="13"/>
        <v>109.60124183473523</v>
      </c>
      <c r="E118" s="9">
        <f t="shared" si="14"/>
        <v>0.99657221790350192</v>
      </c>
      <c r="F118" s="9">
        <f t="shared" si="20"/>
        <v>-99.95724594521505</v>
      </c>
      <c r="G118" s="9"/>
      <c r="H118" s="9">
        <f t="shared" si="22"/>
        <v>9.720248988361325</v>
      </c>
      <c r="I118" s="9">
        <f t="shared" si="15"/>
        <v>-99.505303671858854</v>
      </c>
      <c r="J118" s="9">
        <f t="shared" si="23"/>
        <v>-1.5130120288712963</v>
      </c>
      <c r="K118" s="9">
        <f t="shared" si="21"/>
        <v>1.5066594225250716</v>
      </c>
      <c r="L118" s="9">
        <f t="shared" si="24"/>
        <v>-6.3526063462246984E-3</v>
      </c>
      <c r="M118" s="9">
        <f t="shared" si="25"/>
        <v>-6.3599204019028927E-3</v>
      </c>
    </row>
    <row r="119" spans="1:13" x14ac:dyDescent="0.3">
      <c r="A119" s="10">
        <v>41946</v>
      </c>
      <c r="B119" s="9">
        <v>4638.9101559999999</v>
      </c>
      <c r="C119" s="11">
        <f t="shared" si="19"/>
        <v>1.7642799179307285E-3</v>
      </c>
      <c r="D119" s="9">
        <f t="shared" si="13"/>
        <v>109.79460910468453</v>
      </c>
      <c r="E119" s="9">
        <f t="shared" si="14"/>
        <v>0.99819091695369633</v>
      </c>
      <c r="F119" s="9">
        <f t="shared" si="20"/>
        <v>-100.14729463046351</v>
      </c>
      <c r="G119" s="9"/>
      <c r="H119" s="9">
        <f t="shared" si="22"/>
        <v>9.8991910268541279</v>
      </c>
      <c r="I119" s="9">
        <f t="shared" si="15"/>
        <v>-99.696790511923581</v>
      </c>
      <c r="J119" s="9">
        <f t="shared" si="23"/>
        <v>-0.17894203849280288</v>
      </c>
      <c r="K119" s="9">
        <f t="shared" si="21"/>
        <v>0.1804359156543584</v>
      </c>
      <c r="L119" s="9">
        <f t="shared" si="24"/>
        <v>1.4938771615555235E-3</v>
      </c>
      <c r="M119" s="9">
        <f t="shared" si="25"/>
        <v>1.4954127555559518E-3</v>
      </c>
    </row>
    <row r="120" spans="1:13" x14ac:dyDescent="0.3">
      <c r="A120" s="10">
        <v>41947</v>
      </c>
      <c r="B120" s="9">
        <v>4623.6401370000003</v>
      </c>
      <c r="C120" s="11">
        <f t="shared" si="19"/>
        <v>-3.291725531750004E-3</v>
      </c>
      <c r="D120" s="9">
        <f t="shared" si="13"/>
        <v>109.43319538664613</v>
      </c>
      <c r="E120" s="9">
        <f t="shared" si="14"/>
        <v>0.99791262871015174</v>
      </c>
      <c r="F120" s="9">
        <f t="shared" si="20"/>
        <v>-100.1209563855481</v>
      </c>
      <c r="G120" s="9"/>
      <c r="H120" s="9">
        <f t="shared" si="22"/>
        <v>9.5339365716452988</v>
      </c>
      <c r="I120" s="9">
        <f t="shared" si="15"/>
        <v>-99.670831104794388</v>
      </c>
      <c r="J120" s="9">
        <f t="shared" si="23"/>
        <v>0.36525445520882904</v>
      </c>
      <c r="K120" s="9">
        <f t="shared" si="21"/>
        <v>-0.36485710317430176</v>
      </c>
      <c r="L120" s="9">
        <f t="shared" si="24"/>
        <v>3.973520345272874E-4</v>
      </c>
      <c r="M120" s="9">
        <f t="shared" si="25"/>
        <v>3.9774413671693682E-4</v>
      </c>
    </row>
    <row r="121" spans="1:13" x14ac:dyDescent="0.3">
      <c r="A121" s="10">
        <v>41948</v>
      </c>
      <c r="B121" s="9">
        <v>4620.7202150000003</v>
      </c>
      <c r="C121" s="11">
        <f t="shared" si="19"/>
        <v>-6.3152016884571009E-4</v>
      </c>
      <c r="D121" s="9">
        <f t="shared" si="13"/>
        <v>109.36408611661822</v>
      </c>
      <c r="E121" s="9">
        <f t="shared" si="14"/>
        <v>0.99815841619334789</v>
      </c>
      <c r="F121" s="9">
        <f t="shared" si="20"/>
        <v>-100.1519513534251</v>
      </c>
      <c r="G121" s="9"/>
      <c r="H121" s="9">
        <f t="shared" si="22"/>
        <v>9.4604069380564386</v>
      </c>
      <c r="I121" s="9">
        <f t="shared" si="15"/>
        <v>-99.702276048540114</v>
      </c>
      <c r="J121" s="9">
        <f t="shared" si="23"/>
        <v>7.3529633588860221E-2</v>
      </c>
      <c r="K121" s="9">
        <f t="shared" si="21"/>
        <v>-7.306115904083256E-2</v>
      </c>
      <c r="L121" s="9">
        <f t="shared" si="24"/>
        <v>4.6847454802766142E-4</v>
      </c>
      <c r="M121" s="9">
        <f t="shared" si="25"/>
        <v>4.6891756207411019E-4</v>
      </c>
    </row>
    <row r="122" spans="1:13" x14ac:dyDescent="0.3">
      <c r="A122" s="10">
        <v>41949</v>
      </c>
      <c r="B122" s="9">
        <v>4638.4702150000003</v>
      </c>
      <c r="C122" s="11">
        <f t="shared" si="19"/>
        <v>3.8413925046530866E-3</v>
      </c>
      <c r="D122" s="9">
        <f t="shared" si="13"/>
        <v>109.78419649730485</v>
      </c>
      <c r="E122" s="9">
        <f t="shared" si="14"/>
        <v>0.99900761896624668</v>
      </c>
      <c r="F122" s="9">
        <f t="shared" si="20"/>
        <v>-100.24929631570141</v>
      </c>
      <c r="G122" s="9"/>
      <c r="H122" s="9">
        <f t="shared" si="22"/>
        <v>9.875497371164732</v>
      </c>
      <c r="I122" s="9">
        <f t="shared" si="15"/>
        <v>-99.799751371730352</v>
      </c>
      <c r="J122" s="9">
        <f t="shared" si="23"/>
        <v>-0.41509043310829341</v>
      </c>
      <c r="K122" s="9">
        <f t="shared" si="21"/>
        <v>0.41523927420898554</v>
      </c>
      <c r="L122" s="9">
        <f t="shared" si="24"/>
        <v>1.4884110069213197E-4</v>
      </c>
      <c r="M122" s="9">
        <f t="shared" si="25"/>
        <v>1.4897573020925919E-4</v>
      </c>
    </row>
    <row r="123" spans="1:13" x14ac:dyDescent="0.3">
      <c r="A123" s="10">
        <v>41950</v>
      </c>
      <c r="B123" s="9">
        <v>4632.5297849999997</v>
      </c>
      <c r="C123" s="11">
        <f t="shared" si="19"/>
        <v>-1.2806873224690007E-3</v>
      </c>
      <c r="D123" s="9">
        <f t="shared" si="13"/>
        <v>109.6435972686433</v>
      </c>
      <c r="E123" s="9">
        <f t="shared" si="14"/>
        <v>0.99909687183790019</v>
      </c>
      <c r="F123" s="9">
        <f t="shared" si="20"/>
        <v>-100.2632022403665</v>
      </c>
      <c r="G123" s="9"/>
      <c r="H123" s="9">
        <f t="shared" si="22"/>
        <v>9.7306821417184697</v>
      </c>
      <c r="I123" s="9">
        <f t="shared" si="15"/>
        <v>-99.813892906437587</v>
      </c>
      <c r="J123" s="9">
        <f t="shared" si="23"/>
        <v>0.14481522944626235</v>
      </c>
      <c r="K123" s="9">
        <f t="shared" si="21"/>
        <v>-0.14456114457472968</v>
      </c>
      <c r="L123" s="9">
        <f t="shared" si="24"/>
        <v>2.5408487153266712E-4</v>
      </c>
      <c r="M123" s="9">
        <f t="shared" si="25"/>
        <v>2.5430424490491157E-4</v>
      </c>
    </row>
    <row r="124" spans="1:13" x14ac:dyDescent="0.3">
      <c r="A124" s="10">
        <v>41953</v>
      </c>
      <c r="B124" s="9">
        <v>4651.6201170000004</v>
      </c>
      <c r="C124" s="11">
        <f t="shared" si="19"/>
        <v>4.1209302230100333E-3</v>
      </c>
      <c r="D124" s="9">
        <f t="shared" si="13"/>
        <v>110.09543088238718</v>
      </c>
      <c r="E124" s="9">
        <f t="shared" si="14"/>
        <v>0.99977767783756066</v>
      </c>
      <c r="F124" s="9">
        <f t="shared" si="20"/>
        <v>-100.35051784898513</v>
      </c>
      <c r="G124" s="9"/>
      <c r="H124" s="9">
        <f t="shared" si="22"/>
        <v>10.169547270769344</v>
      </c>
      <c r="I124" s="9">
        <f t="shared" si="15"/>
        <v>-99.901406957349366</v>
      </c>
      <c r="J124" s="9">
        <f t="shared" si="23"/>
        <v>-0.43886512905087471</v>
      </c>
      <c r="K124" s="9">
        <f t="shared" si="21"/>
        <v>0.43911896906031439</v>
      </c>
      <c r="L124" s="9">
        <f t="shared" si="24"/>
        <v>2.5384000943967644E-4</v>
      </c>
      <c r="M124" s="9">
        <f t="shared" si="25"/>
        <v>2.5402785096852225E-4</v>
      </c>
    </row>
    <row r="125" spans="1:13" x14ac:dyDescent="0.3">
      <c r="A125" s="10">
        <v>41954</v>
      </c>
      <c r="B125" s="9">
        <v>4660.5600590000004</v>
      </c>
      <c r="C125" s="11">
        <f t="shared" si="19"/>
        <v>1.9218985590262836E-3</v>
      </c>
      <c r="D125" s="9">
        <f t="shared" si="13"/>
        <v>110.30702313235543</v>
      </c>
      <c r="E125" s="9">
        <f t="shared" si="14"/>
        <v>0.99988469179009554</v>
      </c>
      <c r="F125" s="9">
        <f t="shared" si="20"/>
        <v>-100.36644631814784</v>
      </c>
      <c r="G125" s="9"/>
      <c r="H125" s="9">
        <f t="shared" si="22"/>
        <v>10.376944918011461</v>
      </c>
      <c r="I125" s="9">
        <f t="shared" si="15"/>
        <v>-99.917358908966676</v>
      </c>
      <c r="J125" s="9">
        <f t="shared" si="23"/>
        <v>-0.20739764724211618</v>
      </c>
      <c r="K125" s="9">
        <f t="shared" si="21"/>
        <v>0.20743958668796011</v>
      </c>
      <c r="L125" s="9">
        <f t="shared" si="24"/>
        <v>4.1939445843935941E-5</v>
      </c>
      <c r="M125" s="9">
        <f t="shared" si="25"/>
        <v>4.1968756242102599E-5</v>
      </c>
    </row>
    <row r="126" spans="1:13" x14ac:dyDescent="0.3">
      <c r="A126" s="10">
        <v>41955</v>
      </c>
      <c r="B126" s="9">
        <v>4675.1401370000003</v>
      </c>
      <c r="C126" s="11">
        <f t="shared" si="19"/>
        <v>3.1283961187978668E-3</v>
      </c>
      <c r="D126" s="9">
        <f t="shared" si="13"/>
        <v>110.65210719539881</v>
      </c>
      <c r="E126" s="9">
        <f t="shared" si="14"/>
        <v>0.99995450001966879</v>
      </c>
      <c r="F126" s="9">
        <f t="shared" si="20"/>
        <v>-100.37829547908272</v>
      </c>
      <c r="G126" s="9"/>
      <c r="H126" s="9">
        <f t="shared" si="22"/>
        <v>10.717869391022875</v>
      </c>
      <c r="I126" s="9">
        <f t="shared" si="15"/>
        <v>-99.929203135674939</v>
      </c>
      <c r="J126" s="9">
        <f t="shared" si="23"/>
        <v>-0.34092447301141426</v>
      </c>
      <c r="K126" s="9">
        <f t="shared" si="21"/>
        <v>0.34093799481096532</v>
      </c>
      <c r="L126" s="9">
        <f t="shared" si="24"/>
        <v>1.3521799551052816E-5</v>
      </c>
      <c r="M126" s="9">
        <f t="shared" si="25"/>
        <v>1.353069352105745E-5</v>
      </c>
    </row>
    <row r="127" spans="1:13" x14ac:dyDescent="0.3">
      <c r="A127" s="10">
        <v>41956</v>
      </c>
      <c r="B127" s="9">
        <v>4680.1401370000003</v>
      </c>
      <c r="C127" s="11">
        <f t="shared" si="19"/>
        <v>1.0694866578284986E-3</v>
      </c>
      <c r="D127" s="9">
        <f t="shared" si="13"/>
        <v>110.77044814770491</v>
      </c>
      <c r="E127" s="9">
        <f t="shared" si="14"/>
        <v>0.99997763225537994</v>
      </c>
      <c r="F127" s="9">
        <f t="shared" si="20"/>
        <v>-100.38498306739396</v>
      </c>
      <c r="G127" s="9"/>
      <c r="H127" s="9">
        <f t="shared" si="22"/>
        <v>10.83208696499141</v>
      </c>
      <c r="I127" s="9">
        <f t="shared" si="15"/>
        <v>-99.935883497617894</v>
      </c>
      <c r="J127" s="9">
        <f t="shared" si="23"/>
        <v>-0.11421757396853494</v>
      </c>
      <c r="K127" s="9">
        <f t="shared" si="21"/>
        <v>0.11422880382920587</v>
      </c>
      <c r="L127" s="9">
        <f t="shared" si="24"/>
        <v>1.1229860670938785E-5</v>
      </c>
      <c r="M127" s="9">
        <f t="shared" si="25"/>
        <v>1.1236785321881678E-5</v>
      </c>
    </row>
    <row r="128" spans="1:13" x14ac:dyDescent="0.3">
      <c r="A128" s="10">
        <v>41957</v>
      </c>
      <c r="B128" s="9">
        <v>4688.5400390000004</v>
      </c>
      <c r="C128" s="11">
        <f t="shared" si="19"/>
        <v>1.7947971116489905E-3</v>
      </c>
      <c r="D128" s="9">
        <f t="shared" si="13"/>
        <v>110.96925862809648</v>
      </c>
      <c r="E128" s="9">
        <f t="shared" si="14"/>
        <v>0.99999129076451287</v>
      </c>
      <c r="F128" s="9">
        <f t="shared" si="20"/>
        <v>-100.3906242370593</v>
      </c>
      <c r="G128" s="9"/>
      <c r="H128" s="9">
        <f t="shared" si="22"/>
        <v>11.026781371204718</v>
      </c>
      <c r="I128" s="9">
        <f t="shared" si="15"/>
        <v>-99.941510799486537</v>
      </c>
      <c r="J128" s="9">
        <f t="shared" si="23"/>
        <v>-0.19469440621330847</v>
      </c>
      <c r="K128" s="9">
        <f t="shared" si="21"/>
        <v>0.19469899494256451</v>
      </c>
      <c r="L128" s="9">
        <f t="shared" si="24"/>
        <v>4.588729256044255E-6</v>
      </c>
      <c r="M128" s="9">
        <f t="shared" si="25"/>
        <v>4.5913701064729539E-6</v>
      </c>
    </row>
    <row r="129" spans="1:13" x14ac:dyDescent="0.3">
      <c r="A129" s="10">
        <v>41960</v>
      </c>
      <c r="B129" s="9">
        <v>4671</v>
      </c>
      <c r="C129" s="11">
        <f t="shared" si="19"/>
        <v>-3.7410449423700511E-3</v>
      </c>
      <c r="D129" s="9">
        <f t="shared" si="13"/>
        <v>110.55411764434729</v>
      </c>
      <c r="E129" s="9">
        <f t="shared" si="14"/>
        <v>0.99999845270111209</v>
      </c>
      <c r="F129" s="9">
        <f t="shared" si="20"/>
        <v>-100.40379370790903</v>
      </c>
      <c r="G129" s="9"/>
      <c r="H129" s="9">
        <f t="shared" si="22"/>
        <v>10.59931364470758</v>
      </c>
      <c r="I129" s="9">
        <f t="shared" si="15"/>
        <v>-99.954632939376424</v>
      </c>
      <c r="J129" s="9">
        <f t="shared" si="23"/>
        <v>0.42746772649713805</v>
      </c>
      <c r="K129" s="9">
        <f t="shared" si="21"/>
        <v>-0.42745968389377947</v>
      </c>
      <c r="L129" s="9">
        <f t="shared" si="24"/>
        <v>8.0426033585712098E-6</v>
      </c>
      <c r="M129" s="9">
        <f t="shared" si="25"/>
        <v>8.0462398778709428E-6</v>
      </c>
    </row>
    <row r="130" spans="1:13" x14ac:dyDescent="0.3">
      <c r="A130" s="10">
        <v>41961</v>
      </c>
      <c r="B130" s="9">
        <v>4702.4399409999996</v>
      </c>
      <c r="C130" s="11">
        <f t="shared" si="19"/>
        <v>6.73088011132512E-3</v>
      </c>
      <c r="D130" s="9">
        <f t="shared" si="13"/>
        <v>111.29824415602472</v>
      </c>
      <c r="E130" s="9">
        <f t="shared" si="14"/>
        <v>0.99999990756554979</v>
      </c>
      <c r="F130" s="9">
        <f t="shared" si="20"/>
        <v>-100.40808189985525</v>
      </c>
      <c r="G130" s="9"/>
      <c r="H130" s="9">
        <f t="shared" si="22"/>
        <v>11.339331641555656</v>
      </c>
      <c r="I130" s="9">
        <f t="shared" si="15"/>
        <v>-99.958902226677054</v>
      </c>
      <c r="J130" s="9">
        <f t="shared" si="23"/>
        <v>-0.74001799684807601</v>
      </c>
      <c r="K130" s="9">
        <f t="shared" si="21"/>
        <v>0.7400175512435212</v>
      </c>
      <c r="L130" s="9">
        <f t="shared" si="24"/>
        <v>-4.4560455481068573E-7</v>
      </c>
      <c r="M130" s="9">
        <f t="shared" si="25"/>
        <v>-4.457877176038095E-7</v>
      </c>
    </row>
    <row r="131" spans="1:13" x14ac:dyDescent="0.3">
      <c r="A131" s="10">
        <v>41962</v>
      </c>
      <c r="B131" s="9">
        <v>4675.7099609999996</v>
      </c>
      <c r="C131" s="11">
        <f t="shared" si="19"/>
        <v>-5.6842788712609888E-3</v>
      </c>
      <c r="D131" s="9">
        <f t="shared" si="13"/>
        <v>110.66559389836019</v>
      </c>
      <c r="E131" s="9">
        <f t="shared" si="14"/>
        <v>0.9999999013188976</v>
      </c>
      <c r="F131" s="9">
        <f t="shared" si="20"/>
        <v>-100.41220765288527</v>
      </c>
      <c r="G131" s="9"/>
      <c r="H131" s="9">
        <f t="shared" si="22"/>
        <v>10.702573399307592</v>
      </c>
      <c r="I131" s="9">
        <f t="shared" si="15"/>
        <v>-99.963009578449785</v>
      </c>
      <c r="J131" s="9">
        <f t="shared" si="23"/>
        <v>0.63675824224806377</v>
      </c>
      <c r="K131" s="9">
        <f t="shared" si="21"/>
        <v>-0.63675818368741699</v>
      </c>
      <c r="L131" s="9">
        <f t="shared" si="24"/>
        <v>5.8560646776228964E-8</v>
      </c>
      <c r="M131" s="9">
        <f t="shared" si="25"/>
        <v>5.8582310199532316E-8</v>
      </c>
    </row>
    <row r="132" spans="1:13" x14ac:dyDescent="0.3">
      <c r="A132" s="10">
        <v>41963</v>
      </c>
      <c r="B132" s="9">
        <v>4701.8701170000004</v>
      </c>
      <c r="C132" s="11">
        <f t="shared" si="19"/>
        <v>5.5949056331984119E-3</v>
      </c>
      <c r="D132" s="9">
        <f t="shared" si="13"/>
        <v>111.28475745306336</v>
      </c>
      <c r="E132" s="9">
        <f t="shared" si="14"/>
        <v>0.999999996987185</v>
      </c>
      <c r="F132" s="9">
        <f t="shared" si="20"/>
        <v>-100.4163449131819</v>
      </c>
      <c r="G132" s="9"/>
      <c r="H132" s="9">
        <f t="shared" si="22"/>
        <v>11.317628762605738</v>
      </c>
      <c r="I132" s="9">
        <f t="shared" si="15"/>
        <v>-99.967128355177238</v>
      </c>
      <c r="J132" s="9">
        <f t="shared" si="23"/>
        <v>-0.61505536329814525</v>
      </c>
      <c r="K132" s="9">
        <f t="shared" si="21"/>
        <v>0.61505534030313003</v>
      </c>
      <c r="L132" s="9">
        <f t="shared" si="24"/>
        <v>-2.2995015225291127E-8</v>
      </c>
      <c r="M132" s="9">
        <f t="shared" si="25"/>
        <v>-2.3002576473173451E-8</v>
      </c>
    </row>
    <row r="133" spans="1:13" x14ac:dyDescent="0.3">
      <c r="A133" s="10">
        <v>41964</v>
      </c>
      <c r="B133" s="9">
        <v>4712.9702150000003</v>
      </c>
      <c r="C133" s="11">
        <f t="shared" si="19"/>
        <v>2.3607836294470505E-3</v>
      </c>
      <c r="D133" s="9">
        <f t="shared" si="13"/>
        <v>111.54747668666553</v>
      </c>
      <c r="E133" s="9">
        <f t="shared" si="14"/>
        <v>0.99999999989268018</v>
      </c>
      <c r="F133" s="9">
        <f t="shared" si="20"/>
        <v>-100.42047202118492</v>
      </c>
      <c r="G133" s="9"/>
      <c r="H133" s="9">
        <f t="shared" si="22"/>
        <v>11.576239672644238</v>
      </c>
      <c r="I133" s="9">
        <f t="shared" si="15"/>
        <v>-99.971237002050046</v>
      </c>
      <c r="J133" s="9">
        <f t="shared" si="23"/>
        <v>-0.25861091003850056</v>
      </c>
      <c r="K133" s="9">
        <f t="shared" si="21"/>
        <v>0.25861091024206395</v>
      </c>
      <c r="L133" s="9">
        <f t="shared" si="24"/>
        <v>2.035633883679111E-10</v>
      </c>
      <c r="M133" s="9">
        <f t="shared" si="25"/>
        <v>2.0362195612253666E-10</v>
      </c>
    </row>
    <row r="134" spans="1:13" x14ac:dyDescent="0.3">
      <c r="A134" s="10">
        <v>41967</v>
      </c>
      <c r="B134" s="9">
        <v>4754.8901370000003</v>
      </c>
      <c r="C134" s="11">
        <f t="shared" si="19"/>
        <v>8.8945866592963479E-3</v>
      </c>
      <c r="D134" s="9">
        <f t="shared" si="13"/>
        <v>112.53964538468094</v>
      </c>
      <c r="E134" s="9">
        <f t="shared" si="14"/>
        <v>1</v>
      </c>
      <c r="F134" s="9">
        <f t="shared" si="20"/>
        <v>-100.43285340262167</v>
      </c>
      <c r="G134" s="9"/>
      <c r="H134" s="9">
        <f t="shared" si="22"/>
        <v>12.556082389821583</v>
      </c>
      <c r="I134" s="9">
        <f t="shared" si="15"/>
        <v>-99.983562994859355</v>
      </c>
      <c r="J134" s="9">
        <f t="shared" si="23"/>
        <v>-0.97984271717734472</v>
      </c>
      <c r="K134" s="9">
        <f t="shared" si="21"/>
        <v>0.97984271710354032</v>
      </c>
      <c r="L134" s="9">
        <f t="shared" si="24"/>
        <v>-7.3804407030308994E-11</v>
      </c>
      <c r="M134" s="9">
        <f t="shared" si="25"/>
        <v>-7.381654025882598E-11</v>
      </c>
    </row>
    <row r="135" spans="1:13" x14ac:dyDescent="0.3">
      <c r="A135" s="10">
        <v>41968</v>
      </c>
      <c r="B135" s="9">
        <v>4758.25</v>
      </c>
      <c r="C135" s="11">
        <f t="shared" si="19"/>
        <v>7.0661211998465092E-4</v>
      </c>
      <c r="D135" s="9">
        <f t="shared" si="13"/>
        <v>112.61916726208851</v>
      </c>
      <c r="E135" s="9">
        <f t="shared" si="14"/>
        <v>1</v>
      </c>
      <c r="F135" s="9">
        <f t="shared" si="20"/>
        <v>-100.43698086496904</v>
      </c>
      <c r="G135" s="9"/>
      <c r="H135" s="9">
        <f t="shared" si="22"/>
        <v>12.631495269250532</v>
      </c>
      <c r="I135" s="9">
        <f t="shared" si="15"/>
        <v>-99.987671992837974</v>
      </c>
      <c r="J135" s="9">
        <f t="shared" si="23"/>
        <v>-7.5412879428949253E-2</v>
      </c>
      <c r="K135" s="9">
        <f t="shared" si="21"/>
        <v>7.5412879428961674E-2</v>
      </c>
      <c r="L135" s="9">
        <f t="shared" si="24"/>
        <v>1.2420620087993939E-14</v>
      </c>
      <c r="M135" s="9">
        <f t="shared" si="25"/>
        <v>1.2422151491719516E-14</v>
      </c>
    </row>
    <row r="136" spans="1:13" x14ac:dyDescent="0.3">
      <c r="A136" s="10">
        <v>41969</v>
      </c>
      <c r="B136" s="9">
        <v>4787.3198240000002</v>
      </c>
      <c r="C136" s="11">
        <f t="shared" si="19"/>
        <v>6.1093519676351923E-3</v>
      </c>
      <c r="D136" s="9">
        <f t="shared" si="13"/>
        <v>113.3071973931946</v>
      </c>
      <c r="E136" s="9">
        <f t="shared" si="14"/>
        <v>1</v>
      </c>
      <c r="F136" s="9">
        <f t="shared" si="20"/>
        <v>-100.44110849694164</v>
      </c>
      <c r="G136" s="9"/>
      <c r="H136" s="9">
        <f t="shared" si="22"/>
        <v>13.315416233511609</v>
      </c>
      <c r="I136" s="9">
        <f t="shared" si="15"/>
        <v>-99.991781159682986</v>
      </c>
      <c r="J136" s="9">
        <f t="shared" si="23"/>
        <v>-0.68392096426107685</v>
      </c>
      <c r="K136" s="9">
        <f t="shared" si="21"/>
        <v>0.68392096426107818</v>
      </c>
      <c r="L136" s="9">
        <f t="shared" si="24"/>
        <v>1.3322676295501878E-15</v>
      </c>
      <c r="M136" s="9">
        <f t="shared" si="25"/>
        <v>1.3323771354993749E-15</v>
      </c>
    </row>
    <row r="137" spans="1:13" x14ac:dyDescent="0.3">
      <c r="A137" s="10">
        <v>41971</v>
      </c>
      <c r="B137" s="9">
        <v>4791.6298829999996</v>
      </c>
      <c r="C137" s="11">
        <f t="shared" si="19"/>
        <v>9.0030730313694104E-4</v>
      </c>
      <c r="D137" s="9">
        <f t="shared" ref="D137" si="26">B137/B$8*100</f>
        <v>113.40920869050566</v>
      </c>
      <c r="E137" s="9"/>
      <c r="F137" s="13">
        <f>F136*EXP(E$3*(A137-A136)/365)-MAX(D137-E$2,0)+E136*D137</f>
        <v>-0.4493642697904221</v>
      </c>
      <c r="G137" s="9"/>
      <c r="H137" s="9">
        <f>MAX(D137-$E$2,0)</f>
        <v>13.409208690505665</v>
      </c>
      <c r="I137" s="9"/>
      <c r="J137" s="9">
        <f t="shared" si="23"/>
        <v>-9.3792456994055584E-2</v>
      </c>
      <c r="K137" s="9">
        <f t="shared" si="21"/>
        <v>9.3792456994056819E-2</v>
      </c>
      <c r="L137" s="9">
        <f t="shared" ref="L137:L168" si="27">K137+J137</f>
        <v>1.2351231148954867E-15</v>
      </c>
      <c r="M137" s="9">
        <f t="shared" ref="M137:M168" si="28">L137*EXP($E$3*($A$137-A137)/365)</f>
        <v>1.2351231148954867E-15</v>
      </c>
    </row>
    <row r="138" spans="1:13" ht="15" thickBot="1" x14ac:dyDescent="0.35"/>
    <row r="139" spans="1:13" ht="15" thickBot="1" x14ac:dyDescent="0.35">
      <c r="L139" s="14" t="s">
        <v>17</v>
      </c>
      <c r="M139" s="15">
        <f>SUM(M9:M137)</f>
        <v>-0.44936426979046395</v>
      </c>
    </row>
  </sheetData>
  <pageMargins left="0.7" right="0.7" top="0.75" bottom="0.75" header="0.3" footer="0.3"/>
  <pageSetup paperSize="9"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Delta hedge NASDAQ</vt:lpstr>
      <vt:lpstr>Daily P&amp;L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</dc:creator>
  <cp:lastModifiedBy>Anton</cp:lastModifiedBy>
  <dcterms:created xsi:type="dcterms:W3CDTF">2008-04-09T19:25:45Z</dcterms:created>
  <dcterms:modified xsi:type="dcterms:W3CDTF">2022-06-17T06:31:19Z</dcterms:modified>
</cp:coreProperties>
</file>