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\Mon Drive\Supports formations\ENSAE - Instruments Financiers\My supports\2025\Ressources cours Instruments Financiers\2 - Options\"/>
    </mc:Choice>
  </mc:AlternateContent>
  <xr:revisionPtr revIDLastSave="0" documentId="13_ncr:1_{1CCFEB5E-2B8C-4619-8FCE-6799CD6940B4}" xr6:coauthVersionLast="47" xr6:coauthVersionMax="47" xr10:uidLastSave="{00000000-0000-0000-0000-000000000000}"/>
  <bookViews>
    <workbookView xWindow="-103" yWindow="-103" windowWidth="24892" windowHeight="15634" firstSheet="5" activeTab="10" xr2:uid="{00000000-000D-0000-FFFF-FFFF00000000}"/>
  </bookViews>
  <sheets>
    <sheet name="Call Orange" sheetId="26" r:id="rId1"/>
    <sheet name="Call BS" sheetId="27" r:id="rId2"/>
    <sheet name="Smile" sheetId="28" r:id="rId3"/>
    <sheet name="Call en fct S0" sheetId="29" r:id="rId4"/>
    <sheet name="Graph call en fct de S0" sheetId="30" r:id="rId5"/>
    <sheet name="Put deep ITM" sheetId="31" r:id="rId6"/>
    <sheet name="Approx call put ATMF" sheetId="32" r:id="rId7"/>
    <sheet name="Grecques" sheetId="33" r:id="rId8"/>
    <sheet name="Graph grecques" sheetId="34" r:id="rId9"/>
    <sheet name="Exo 2 révision" sheetId="35" r:id="rId10"/>
    <sheet name="Exo 3 révision" sheetId="36" r:id="rId11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6" l="1"/>
  <c r="C7" i="36"/>
  <c r="B7" i="36"/>
  <c r="B6" i="36"/>
  <c r="B1" i="36"/>
  <c r="B12" i="35"/>
  <c r="B8" i="35" a="1"/>
  <c r="B8" i="35"/>
  <c r="B9" i="35" a="1"/>
  <c r="B9" i="35"/>
  <c r="B11" i="35"/>
  <c r="B10" i="33" a="1"/>
  <c r="B10" i="33"/>
  <c r="I10" i="33" a="1"/>
  <c r="I10" i="33"/>
  <c r="J10" i="33"/>
  <c r="B11" i="33" a="1"/>
  <c r="B11" i="33"/>
  <c r="I11" i="33" a="1"/>
  <c r="I11" i="33"/>
  <c r="J11" i="33"/>
  <c r="B12" i="33" a="1"/>
  <c r="B12" i="33"/>
  <c r="I12" i="33" a="1"/>
  <c r="I12" i="33"/>
  <c r="J12" i="33"/>
  <c r="B13" i="33" a="1"/>
  <c r="B13" i="33"/>
  <c r="I13" i="33" a="1"/>
  <c r="I13" i="33"/>
  <c r="J13" i="33"/>
  <c r="B14" i="33" a="1"/>
  <c r="B14" i="33"/>
  <c r="I14" i="33" a="1"/>
  <c r="I14" i="33"/>
  <c r="J14" i="33"/>
  <c r="B15" i="33" a="1"/>
  <c r="B15" i="33"/>
  <c r="I15" i="33" a="1"/>
  <c r="I15" i="33"/>
  <c r="J15" i="33"/>
  <c r="B16" i="33" a="1"/>
  <c r="B16" i="33"/>
  <c r="I16" i="33" a="1"/>
  <c r="I16" i="33"/>
  <c r="J16" i="33"/>
  <c r="B17" i="33" a="1"/>
  <c r="B17" i="33"/>
  <c r="I17" i="33" a="1"/>
  <c r="I17" i="33"/>
  <c r="J17" i="33"/>
  <c r="B18" i="33" a="1"/>
  <c r="B18" i="33"/>
  <c r="I18" i="33" a="1"/>
  <c r="I18" i="33"/>
  <c r="J18" i="33"/>
  <c r="B19" i="33" a="1"/>
  <c r="B19" i="33"/>
  <c r="I19" i="33" a="1"/>
  <c r="I19" i="33"/>
  <c r="J19" i="33"/>
  <c r="B20" i="33" a="1"/>
  <c r="B20" i="33"/>
  <c r="I20" i="33" a="1"/>
  <c r="I20" i="33"/>
  <c r="J20" i="33"/>
  <c r="B21" i="33" a="1"/>
  <c r="B21" i="33"/>
  <c r="I21" i="33" a="1"/>
  <c r="I21" i="33"/>
  <c r="J21" i="33"/>
  <c r="B22" i="33" a="1"/>
  <c r="B22" i="33"/>
  <c r="I22" i="33" a="1"/>
  <c r="I22" i="33"/>
  <c r="J22" i="33"/>
  <c r="B23" i="33" a="1"/>
  <c r="B23" i="33"/>
  <c r="I23" i="33" a="1"/>
  <c r="I23" i="33"/>
  <c r="J23" i="33"/>
  <c r="B24" i="33" a="1"/>
  <c r="B24" i="33"/>
  <c r="I24" i="33" a="1"/>
  <c r="I24" i="33"/>
  <c r="J24" i="33"/>
  <c r="B25" i="33" a="1"/>
  <c r="B25" i="33"/>
  <c r="I25" i="33" a="1"/>
  <c r="I25" i="33"/>
  <c r="J25" i="33"/>
  <c r="B26" i="33" a="1"/>
  <c r="B26" i="33"/>
  <c r="I26" i="33" a="1"/>
  <c r="I26" i="33"/>
  <c r="J26" i="33"/>
  <c r="B27" i="33" a="1"/>
  <c r="B27" i="33"/>
  <c r="I27" i="33" a="1"/>
  <c r="I27" i="33"/>
  <c r="J27" i="33"/>
  <c r="B28" i="33" a="1"/>
  <c r="B28" i="33"/>
  <c r="I28" i="33" a="1"/>
  <c r="I28" i="33"/>
  <c r="J28" i="33"/>
  <c r="B29" i="33" a="1"/>
  <c r="B29" i="33"/>
  <c r="I29" i="33" a="1"/>
  <c r="I29" i="33"/>
  <c r="J29" i="33"/>
  <c r="B30" i="33" a="1"/>
  <c r="B30" i="33"/>
  <c r="I30" i="33" a="1"/>
  <c r="I30" i="33"/>
  <c r="J30" i="33"/>
  <c r="B31" i="33" a="1"/>
  <c r="B31" i="33"/>
  <c r="I31" i="33" a="1"/>
  <c r="I31" i="33"/>
  <c r="J31" i="33"/>
  <c r="B32" i="33" a="1"/>
  <c r="B32" i="33"/>
  <c r="I32" i="33" a="1"/>
  <c r="I32" i="33"/>
  <c r="J32" i="33"/>
  <c r="B33" i="33" a="1"/>
  <c r="B33" i="33"/>
  <c r="I33" i="33" a="1"/>
  <c r="I33" i="33"/>
  <c r="J33" i="33"/>
  <c r="B34" i="33" a="1"/>
  <c r="B34" i="33"/>
  <c r="I34" i="33" a="1"/>
  <c r="I34" i="33"/>
  <c r="J34" i="33"/>
  <c r="B35" i="33" a="1"/>
  <c r="B35" i="33"/>
  <c r="I35" i="33" a="1"/>
  <c r="I35" i="33"/>
  <c r="J35" i="33"/>
  <c r="B36" i="33" a="1"/>
  <c r="B36" i="33"/>
  <c r="I36" i="33" a="1"/>
  <c r="I36" i="33"/>
  <c r="J36" i="33"/>
  <c r="B37" i="33" a="1"/>
  <c r="B37" i="33"/>
  <c r="I37" i="33" a="1"/>
  <c r="I37" i="33"/>
  <c r="J37" i="33"/>
  <c r="B38" i="33" a="1"/>
  <c r="B38" i="33"/>
  <c r="I38" i="33" a="1"/>
  <c r="I38" i="33"/>
  <c r="J38" i="33"/>
  <c r="B39" i="33" a="1"/>
  <c r="B39" i="33"/>
  <c r="I39" i="33" a="1"/>
  <c r="I39" i="33"/>
  <c r="J39" i="33"/>
  <c r="B40" i="33" a="1"/>
  <c r="B40" i="33"/>
  <c r="I40" i="33" a="1"/>
  <c r="I40" i="33"/>
  <c r="J40" i="33"/>
  <c r="B41" i="33" a="1"/>
  <c r="B41" i="33"/>
  <c r="I41" i="33" a="1"/>
  <c r="I41" i="33"/>
  <c r="J41" i="33"/>
  <c r="B42" i="33" a="1"/>
  <c r="B42" i="33"/>
  <c r="I42" i="33" a="1"/>
  <c r="I42" i="33"/>
  <c r="J42" i="33"/>
  <c r="B43" i="33" a="1"/>
  <c r="B43" i="33"/>
  <c r="I43" i="33" a="1"/>
  <c r="I43" i="33"/>
  <c r="J43" i="33"/>
  <c r="B44" i="33" a="1"/>
  <c r="B44" i="33"/>
  <c r="I44" i="33" a="1"/>
  <c r="I44" i="33"/>
  <c r="J44" i="33"/>
  <c r="B45" i="33" a="1"/>
  <c r="B45" i="33"/>
  <c r="I45" i="33" a="1"/>
  <c r="I45" i="33"/>
  <c r="J45" i="33"/>
  <c r="B46" i="33" a="1"/>
  <c r="B46" i="33"/>
  <c r="I46" i="33" a="1"/>
  <c r="I46" i="33"/>
  <c r="J46" i="33"/>
  <c r="B47" i="33" a="1"/>
  <c r="B47" i="33"/>
  <c r="I47" i="33" a="1"/>
  <c r="I47" i="33"/>
  <c r="J47" i="33"/>
  <c r="B48" i="33" a="1"/>
  <c r="B48" i="33"/>
  <c r="I48" i="33" a="1"/>
  <c r="I48" i="33"/>
  <c r="J48" i="33"/>
  <c r="B49" i="33" a="1"/>
  <c r="B49" i="33"/>
  <c r="I49" i="33" a="1"/>
  <c r="I49" i="33"/>
  <c r="J49" i="33"/>
  <c r="B50" i="33" a="1"/>
  <c r="B50" i="33"/>
  <c r="I50" i="33" a="1"/>
  <c r="I50" i="33"/>
  <c r="J50" i="33"/>
  <c r="B51" i="33" a="1"/>
  <c r="B51" i="33"/>
  <c r="I51" i="33" a="1"/>
  <c r="I51" i="33"/>
  <c r="J51" i="33"/>
  <c r="B52" i="33" a="1"/>
  <c r="B52" i="33"/>
  <c r="I52" i="33" a="1"/>
  <c r="I52" i="33"/>
  <c r="J52" i="33"/>
  <c r="B53" i="33" a="1"/>
  <c r="B53" i="33"/>
  <c r="I53" i="33" a="1"/>
  <c r="I53" i="33"/>
  <c r="J53" i="33"/>
  <c r="B54" i="33" a="1"/>
  <c r="B54" i="33"/>
  <c r="I54" i="33" a="1"/>
  <c r="I54" i="33"/>
  <c r="J54" i="33"/>
  <c r="B55" i="33" a="1"/>
  <c r="B55" i="33"/>
  <c r="I55" i="33" a="1"/>
  <c r="I55" i="33"/>
  <c r="J55" i="33"/>
  <c r="B56" i="33" a="1"/>
  <c r="B56" i="33"/>
  <c r="I56" i="33" a="1"/>
  <c r="I56" i="33"/>
  <c r="J56" i="33"/>
  <c r="B57" i="33" a="1"/>
  <c r="B57" i="33"/>
  <c r="I57" i="33" a="1"/>
  <c r="I57" i="33"/>
  <c r="J57" i="33"/>
  <c r="B58" i="33" a="1"/>
  <c r="B58" i="33"/>
  <c r="I58" i="33" a="1"/>
  <c r="I58" i="33"/>
  <c r="J58" i="33"/>
  <c r="B59" i="33" a="1"/>
  <c r="B59" i="33"/>
  <c r="I59" i="33" a="1"/>
  <c r="I59" i="33"/>
  <c r="J59" i="33"/>
  <c r="B60" i="33" a="1"/>
  <c r="B60" i="33"/>
  <c r="I60" i="33" a="1"/>
  <c r="I60" i="33"/>
  <c r="J60" i="33"/>
  <c r="B61" i="33" a="1"/>
  <c r="B61" i="33"/>
  <c r="I61" i="33" a="1"/>
  <c r="I61" i="33"/>
  <c r="J61" i="33"/>
  <c r="B62" i="33" a="1"/>
  <c r="B62" i="33"/>
  <c r="I62" i="33" a="1"/>
  <c r="I62" i="33"/>
  <c r="J62" i="33"/>
  <c r="B63" i="33" a="1"/>
  <c r="B63" i="33"/>
  <c r="I63" i="33" a="1"/>
  <c r="I63" i="33"/>
  <c r="J63" i="33"/>
  <c r="B64" i="33" a="1"/>
  <c r="B64" i="33"/>
  <c r="I64" i="33" a="1"/>
  <c r="I64" i="33"/>
  <c r="J64" i="33"/>
  <c r="B65" i="33" a="1"/>
  <c r="B65" i="33"/>
  <c r="I65" i="33" a="1"/>
  <c r="I65" i="33"/>
  <c r="J65" i="33"/>
  <c r="B66" i="33" a="1"/>
  <c r="B66" i="33"/>
  <c r="I66" i="33" a="1"/>
  <c r="I66" i="33"/>
  <c r="J66" i="33"/>
  <c r="B67" i="33" a="1"/>
  <c r="B67" i="33"/>
  <c r="I67" i="33" a="1"/>
  <c r="I67" i="33"/>
  <c r="J67" i="33"/>
  <c r="B68" i="33" a="1"/>
  <c r="B68" i="33"/>
  <c r="I68" i="33" a="1"/>
  <c r="I68" i="33"/>
  <c r="J68" i="33"/>
  <c r="B69" i="33" a="1"/>
  <c r="B69" i="33"/>
  <c r="I69" i="33" a="1"/>
  <c r="I69" i="33"/>
  <c r="J69" i="33"/>
  <c r="B70" i="33" a="1"/>
  <c r="B70" i="33"/>
  <c r="I70" i="33" a="1"/>
  <c r="I70" i="33"/>
  <c r="J70" i="33"/>
  <c r="B71" i="33" a="1"/>
  <c r="B71" i="33"/>
  <c r="I71" i="33" a="1"/>
  <c r="I71" i="33"/>
  <c r="J71" i="33"/>
  <c r="B72" i="33" a="1"/>
  <c r="B72" i="33"/>
  <c r="I72" i="33" a="1"/>
  <c r="I72" i="33"/>
  <c r="J72" i="33"/>
  <c r="B73" i="33" a="1"/>
  <c r="B73" i="33"/>
  <c r="I73" i="33" a="1"/>
  <c r="I73" i="33"/>
  <c r="J73" i="33"/>
  <c r="B74" i="33" a="1"/>
  <c r="B74" i="33"/>
  <c r="I74" i="33" a="1"/>
  <c r="I74" i="33"/>
  <c r="J74" i="33"/>
  <c r="B75" i="33" a="1"/>
  <c r="B75" i="33"/>
  <c r="I75" i="33" a="1"/>
  <c r="I75" i="33"/>
  <c r="J75" i="33"/>
  <c r="B76" i="33" a="1"/>
  <c r="B76" i="33"/>
  <c r="I76" i="33" a="1"/>
  <c r="I76" i="33"/>
  <c r="J76" i="33"/>
  <c r="B77" i="33" a="1"/>
  <c r="B77" i="33"/>
  <c r="I77" i="33" a="1"/>
  <c r="I77" i="33"/>
  <c r="J77" i="33"/>
  <c r="B78" i="33" a="1"/>
  <c r="B78" i="33"/>
  <c r="I78" i="33" a="1"/>
  <c r="I78" i="33"/>
  <c r="J78" i="33"/>
  <c r="B79" i="33" a="1"/>
  <c r="B79" i="33"/>
  <c r="I79" i="33" a="1"/>
  <c r="I79" i="33"/>
  <c r="J79" i="33"/>
  <c r="B80" i="33" a="1"/>
  <c r="B80" i="33"/>
  <c r="I80" i="33" a="1"/>
  <c r="I80" i="33"/>
  <c r="J80" i="33"/>
  <c r="B81" i="33" a="1"/>
  <c r="B81" i="33"/>
  <c r="I81" i="33" a="1"/>
  <c r="I81" i="33"/>
  <c r="J81" i="33"/>
  <c r="B82" i="33" a="1"/>
  <c r="B82" i="33"/>
  <c r="I82" i="33" a="1"/>
  <c r="I82" i="33"/>
  <c r="J82" i="33"/>
  <c r="B83" i="33" a="1"/>
  <c r="B83" i="33"/>
  <c r="I83" i="33" a="1"/>
  <c r="I83" i="33"/>
  <c r="J83" i="33"/>
  <c r="B84" i="33" a="1"/>
  <c r="B84" i="33"/>
  <c r="I84" i="33" a="1"/>
  <c r="I84" i="33"/>
  <c r="J84" i="33"/>
  <c r="B85" i="33" a="1"/>
  <c r="B85" i="33"/>
  <c r="I85" i="33" a="1"/>
  <c r="I85" i="33"/>
  <c r="J85" i="33"/>
  <c r="B86" i="33" a="1"/>
  <c r="B86" i="33"/>
  <c r="I86" i="33" a="1"/>
  <c r="I86" i="33"/>
  <c r="J86" i="33"/>
  <c r="B87" i="33" a="1"/>
  <c r="B87" i="33"/>
  <c r="I87" i="33" a="1"/>
  <c r="I87" i="33"/>
  <c r="J87" i="33"/>
  <c r="B88" i="33" a="1"/>
  <c r="B88" i="33"/>
  <c r="I88" i="33" a="1"/>
  <c r="I88" i="33"/>
  <c r="J88" i="33"/>
  <c r="B89" i="33" a="1"/>
  <c r="B89" i="33"/>
  <c r="I89" i="33" a="1"/>
  <c r="I89" i="33"/>
  <c r="J89" i="33"/>
  <c r="B90" i="33" a="1"/>
  <c r="B90" i="33"/>
  <c r="I90" i="33" a="1"/>
  <c r="I90" i="33"/>
  <c r="J90" i="33"/>
  <c r="B91" i="33" a="1"/>
  <c r="B91" i="33"/>
  <c r="I91" i="33" a="1"/>
  <c r="I91" i="33"/>
  <c r="J91" i="33"/>
  <c r="B92" i="33" a="1"/>
  <c r="B92" i="33"/>
  <c r="I92" i="33" a="1"/>
  <c r="I92" i="33"/>
  <c r="J92" i="33"/>
  <c r="B93" i="33" a="1"/>
  <c r="B93" i="33"/>
  <c r="I93" i="33" a="1"/>
  <c r="I93" i="33"/>
  <c r="J93" i="33"/>
  <c r="B94" i="33" a="1"/>
  <c r="B94" i="33"/>
  <c r="I94" i="33" a="1"/>
  <c r="I94" i="33"/>
  <c r="J94" i="33"/>
  <c r="B95" i="33" a="1"/>
  <c r="B95" i="33"/>
  <c r="I95" i="33" a="1"/>
  <c r="I95" i="33"/>
  <c r="J95" i="33"/>
  <c r="B96" i="33" a="1"/>
  <c r="B96" i="33"/>
  <c r="I96" i="33" a="1"/>
  <c r="I96" i="33"/>
  <c r="J96" i="33"/>
  <c r="B97" i="33" a="1"/>
  <c r="B97" i="33"/>
  <c r="I97" i="33" a="1"/>
  <c r="I97" i="33"/>
  <c r="J97" i="33"/>
  <c r="B98" i="33" a="1"/>
  <c r="B98" i="33"/>
  <c r="I98" i="33" a="1"/>
  <c r="I98" i="33"/>
  <c r="J98" i="33"/>
  <c r="B99" i="33" a="1"/>
  <c r="B99" i="33"/>
  <c r="I99" i="33" a="1"/>
  <c r="I99" i="33"/>
  <c r="J99" i="33"/>
  <c r="B100" i="33" a="1"/>
  <c r="B100" i="33"/>
  <c r="I100" i="33" a="1"/>
  <c r="I100" i="33"/>
  <c r="J100" i="33"/>
  <c r="B101" i="33" a="1"/>
  <c r="B101" i="33"/>
  <c r="I101" i="33" a="1"/>
  <c r="I101" i="33"/>
  <c r="J101" i="33"/>
  <c r="B102" i="33" a="1"/>
  <c r="B102" i="33"/>
  <c r="I102" i="33" a="1"/>
  <c r="I102" i="33"/>
  <c r="J102" i="33"/>
  <c r="B103" i="33" a="1"/>
  <c r="B103" i="33"/>
  <c r="I103" i="33" a="1"/>
  <c r="I103" i="33"/>
  <c r="J103" i="33"/>
  <c r="B104" i="33" a="1"/>
  <c r="B104" i="33"/>
  <c r="I104" i="33" a="1"/>
  <c r="I104" i="33"/>
  <c r="J104" i="33"/>
  <c r="B105" i="33" a="1"/>
  <c r="B105" i="33"/>
  <c r="I105" i="33" a="1"/>
  <c r="I105" i="33"/>
  <c r="J105" i="33"/>
  <c r="B106" i="33" a="1"/>
  <c r="B106" i="33"/>
  <c r="I106" i="33" a="1"/>
  <c r="I106" i="33"/>
  <c r="J106" i="33"/>
  <c r="B107" i="33" a="1"/>
  <c r="B107" i="33"/>
  <c r="I107" i="33" a="1"/>
  <c r="I107" i="33"/>
  <c r="J107" i="33"/>
  <c r="B108" i="33" a="1"/>
  <c r="B108" i="33"/>
  <c r="I108" i="33" a="1"/>
  <c r="I108" i="33"/>
  <c r="J108" i="33"/>
  <c r="B109" i="33" a="1"/>
  <c r="B109" i="33"/>
  <c r="I109" i="33" a="1"/>
  <c r="I109" i="33"/>
  <c r="J109" i="33"/>
  <c r="B9" i="33" a="1"/>
  <c r="B9" i="33"/>
  <c r="I9" i="33" a="1"/>
  <c r="I9" i="33"/>
  <c r="J9" i="33"/>
  <c r="H10" i="33" a="1"/>
  <c r="H10" i="33"/>
  <c r="H11" i="33" a="1"/>
  <c r="H11" i="33"/>
  <c r="H12" i="33" a="1"/>
  <c r="H12" i="33"/>
  <c r="H13" i="33" a="1"/>
  <c r="H13" i="33"/>
  <c r="H14" i="33" a="1"/>
  <c r="H14" i="33"/>
  <c r="H15" i="33" a="1"/>
  <c r="H15" i="33"/>
  <c r="H16" i="33" a="1"/>
  <c r="H16" i="33"/>
  <c r="H17" i="33" a="1"/>
  <c r="H17" i="33"/>
  <c r="H18" i="33" a="1"/>
  <c r="H18" i="33"/>
  <c r="H19" i="33" a="1"/>
  <c r="H19" i="33"/>
  <c r="H20" i="33" a="1"/>
  <c r="H20" i="33"/>
  <c r="H21" i="33" a="1"/>
  <c r="H21" i="33"/>
  <c r="H22" i="33" a="1"/>
  <c r="H22" i="33"/>
  <c r="H23" i="33" a="1"/>
  <c r="H23" i="33"/>
  <c r="H24" i="33" a="1"/>
  <c r="H24" i="33"/>
  <c r="H25" i="33" a="1"/>
  <c r="H25" i="33"/>
  <c r="H26" i="33" a="1"/>
  <c r="H26" i="33"/>
  <c r="H27" i="33" a="1"/>
  <c r="H27" i="33"/>
  <c r="H28" i="33" a="1"/>
  <c r="H28" i="33"/>
  <c r="H29" i="33" a="1"/>
  <c r="H29" i="33"/>
  <c r="H30" i="33" a="1"/>
  <c r="H30" i="33"/>
  <c r="H31" i="33" a="1"/>
  <c r="H31" i="33"/>
  <c r="H32" i="33" a="1"/>
  <c r="H32" i="33"/>
  <c r="H33" i="33" a="1"/>
  <c r="H33" i="33"/>
  <c r="H34" i="33" a="1"/>
  <c r="H34" i="33"/>
  <c r="H35" i="33" a="1"/>
  <c r="H35" i="33"/>
  <c r="H36" i="33" a="1"/>
  <c r="H36" i="33"/>
  <c r="H37" i="33" a="1"/>
  <c r="H37" i="33"/>
  <c r="H38" i="33" a="1"/>
  <c r="H38" i="33"/>
  <c r="H39" i="33" a="1"/>
  <c r="H39" i="33"/>
  <c r="H40" i="33" a="1"/>
  <c r="H40" i="33"/>
  <c r="H41" i="33" a="1"/>
  <c r="H41" i="33"/>
  <c r="H42" i="33" a="1"/>
  <c r="H42" i="33"/>
  <c r="H43" i="33" a="1"/>
  <c r="H43" i="33"/>
  <c r="H44" i="33" a="1"/>
  <c r="H44" i="33"/>
  <c r="H45" i="33" a="1"/>
  <c r="H45" i="33"/>
  <c r="H46" i="33" a="1"/>
  <c r="H46" i="33"/>
  <c r="H47" i="33" a="1"/>
  <c r="H47" i="33"/>
  <c r="H48" i="33" a="1"/>
  <c r="H48" i="33"/>
  <c r="H49" i="33" a="1"/>
  <c r="H49" i="33"/>
  <c r="H50" i="33" a="1"/>
  <c r="H50" i="33"/>
  <c r="H51" i="33" a="1"/>
  <c r="H51" i="33"/>
  <c r="H52" i="33" a="1"/>
  <c r="H52" i="33"/>
  <c r="H53" i="33" a="1"/>
  <c r="H53" i="33"/>
  <c r="H54" i="33" a="1"/>
  <c r="H54" i="33"/>
  <c r="H55" i="33" a="1"/>
  <c r="H55" i="33"/>
  <c r="H56" i="33" a="1"/>
  <c r="H56" i="33"/>
  <c r="H57" i="33" a="1"/>
  <c r="H57" i="33"/>
  <c r="H58" i="33" a="1"/>
  <c r="H58" i="33"/>
  <c r="H59" i="33" a="1"/>
  <c r="H59" i="33"/>
  <c r="H60" i="33" a="1"/>
  <c r="H60" i="33"/>
  <c r="H61" i="33" a="1"/>
  <c r="H61" i="33"/>
  <c r="H62" i="33" a="1"/>
  <c r="H62" i="33"/>
  <c r="H63" i="33" a="1"/>
  <c r="H63" i="33"/>
  <c r="H64" i="33" a="1"/>
  <c r="H64" i="33"/>
  <c r="H65" i="33" a="1"/>
  <c r="H65" i="33"/>
  <c r="H66" i="33" a="1"/>
  <c r="H66" i="33"/>
  <c r="H67" i="33" a="1"/>
  <c r="H67" i="33"/>
  <c r="H68" i="33" a="1"/>
  <c r="H68" i="33"/>
  <c r="H69" i="33" a="1"/>
  <c r="H69" i="33"/>
  <c r="H70" i="33" a="1"/>
  <c r="H70" i="33"/>
  <c r="H71" i="33" a="1"/>
  <c r="H71" i="33"/>
  <c r="H72" i="33" a="1"/>
  <c r="H72" i="33"/>
  <c r="H73" i="33" a="1"/>
  <c r="H73" i="33"/>
  <c r="H74" i="33" a="1"/>
  <c r="H74" i="33"/>
  <c r="H75" i="33" a="1"/>
  <c r="H75" i="33"/>
  <c r="H76" i="33" a="1"/>
  <c r="H76" i="33"/>
  <c r="H77" i="33" a="1"/>
  <c r="H77" i="33"/>
  <c r="H78" i="33" a="1"/>
  <c r="H78" i="33"/>
  <c r="H79" i="33" a="1"/>
  <c r="H79" i="33"/>
  <c r="H80" i="33" a="1"/>
  <c r="H80" i="33"/>
  <c r="H81" i="33" a="1"/>
  <c r="H81" i="33"/>
  <c r="H82" i="33" a="1"/>
  <c r="H82" i="33"/>
  <c r="H83" i="33" a="1"/>
  <c r="H83" i="33"/>
  <c r="H84" i="33" a="1"/>
  <c r="H84" i="33"/>
  <c r="H85" i="33" a="1"/>
  <c r="H85" i="33"/>
  <c r="H86" i="33" a="1"/>
  <c r="H86" i="33"/>
  <c r="H87" i="33" a="1"/>
  <c r="H87" i="33"/>
  <c r="H88" i="33" a="1"/>
  <c r="H88" i="33"/>
  <c r="H89" i="33" a="1"/>
  <c r="H89" i="33"/>
  <c r="H90" i="33" a="1"/>
  <c r="H90" i="33"/>
  <c r="H91" i="33" a="1"/>
  <c r="H91" i="33"/>
  <c r="H92" i="33" a="1"/>
  <c r="H92" i="33"/>
  <c r="H93" i="33" a="1"/>
  <c r="H93" i="33"/>
  <c r="H94" i="33" a="1"/>
  <c r="H94" i="33"/>
  <c r="H95" i="33" a="1"/>
  <c r="H95" i="33"/>
  <c r="H96" i="33" a="1"/>
  <c r="H96" i="33"/>
  <c r="H97" i="33" a="1"/>
  <c r="H97" i="33"/>
  <c r="H98" i="33" a="1"/>
  <c r="H98" i="33"/>
  <c r="H99" i="33" a="1"/>
  <c r="H99" i="33"/>
  <c r="H100" i="33" a="1"/>
  <c r="H100" i="33"/>
  <c r="H101" i="33" a="1"/>
  <c r="H101" i="33"/>
  <c r="H102" i="33" a="1"/>
  <c r="H102" i="33"/>
  <c r="H103" i="33" a="1"/>
  <c r="H103" i="33"/>
  <c r="H104" i="33" a="1"/>
  <c r="H104" i="33"/>
  <c r="H105" i="33" a="1"/>
  <c r="H105" i="33"/>
  <c r="H106" i="33" a="1"/>
  <c r="H106" i="33"/>
  <c r="H107" i="33" a="1"/>
  <c r="H107" i="33"/>
  <c r="H108" i="33" a="1"/>
  <c r="H108" i="33"/>
  <c r="H109" i="33" a="1"/>
  <c r="H109" i="33"/>
  <c r="H9" i="33" a="1"/>
  <c r="H9" i="33"/>
  <c r="D10" i="33" a="1"/>
  <c r="D10" i="33"/>
  <c r="F10" i="33" a="1"/>
  <c r="F10" i="33"/>
  <c r="G10" i="33"/>
  <c r="D11" i="33" a="1"/>
  <c r="D11" i="33"/>
  <c r="F11" i="33" a="1"/>
  <c r="F11" i="33"/>
  <c r="G11" i="33"/>
  <c r="D12" i="33" a="1"/>
  <c r="D12" i="33"/>
  <c r="F12" i="33" a="1"/>
  <c r="F12" i="33"/>
  <c r="G12" i="33"/>
  <c r="D13" i="33" a="1"/>
  <c r="D13" i="33"/>
  <c r="F13" i="33" a="1"/>
  <c r="F13" i="33"/>
  <c r="G13" i="33"/>
  <c r="D14" i="33" a="1"/>
  <c r="D14" i="33"/>
  <c r="F14" i="33" a="1"/>
  <c r="F14" i="33"/>
  <c r="G14" i="33"/>
  <c r="D15" i="33" a="1"/>
  <c r="D15" i="33"/>
  <c r="F15" i="33" a="1"/>
  <c r="F15" i="33"/>
  <c r="G15" i="33"/>
  <c r="D16" i="33" a="1"/>
  <c r="D16" i="33"/>
  <c r="F16" i="33" a="1"/>
  <c r="F16" i="33"/>
  <c r="G16" i="33"/>
  <c r="D17" i="33" a="1"/>
  <c r="D17" i="33"/>
  <c r="F17" i="33" a="1"/>
  <c r="F17" i="33"/>
  <c r="G17" i="33"/>
  <c r="D18" i="33" a="1"/>
  <c r="D18" i="33"/>
  <c r="F18" i="33" a="1"/>
  <c r="F18" i="33"/>
  <c r="G18" i="33"/>
  <c r="D19" i="33" a="1"/>
  <c r="D19" i="33"/>
  <c r="F19" i="33" a="1"/>
  <c r="F19" i="33"/>
  <c r="G19" i="33"/>
  <c r="D20" i="33" a="1"/>
  <c r="D20" i="33"/>
  <c r="F20" i="33" a="1"/>
  <c r="F20" i="33"/>
  <c r="G20" i="33"/>
  <c r="D21" i="33" a="1"/>
  <c r="D21" i="33"/>
  <c r="F21" i="33" a="1"/>
  <c r="F21" i="33"/>
  <c r="G21" i="33"/>
  <c r="D22" i="33" a="1"/>
  <c r="D22" i="33"/>
  <c r="F22" i="33" a="1"/>
  <c r="F22" i="33"/>
  <c r="G22" i="33"/>
  <c r="D23" i="33" a="1"/>
  <c r="D23" i="33"/>
  <c r="F23" i="33" a="1"/>
  <c r="F23" i="33"/>
  <c r="G23" i="33"/>
  <c r="D24" i="33" a="1"/>
  <c r="D24" i="33"/>
  <c r="F24" i="33" a="1"/>
  <c r="F24" i="33"/>
  <c r="G24" i="33"/>
  <c r="D25" i="33" a="1"/>
  <c r="D25" i="33"/>
  <c r="F25" i="33" a="1"/>
  <c r="F25" i="33"/>
  <c r="G25" i="33"/>
  <c r="D26" i="33" a="1"/>
  <c r="D26" i="33"/>
  <c r="F26" i="33" a="1"/>
  <c r="F26" i="33"/>
  <c r="G26" i="33"/>
  <c r="D27" i="33" a="1"/>
  <c r="D27" i="33"/>
  <c r="F27" i="33" a="1"/>
  <c r="F27" i="33"/>
  <c r="G27" i="33"/>
  <c r="D28" i="33" a="1"/>
  <c r="D28" i="33"/>
  <c r="F28" i="33" a="1"/>
  <c r="F28" i="33"/>
  <c r="G28" i="33"/>
  <c r="D29" i="33" a="1"/>
  <c r="D29" i="33"/>
  <c r="F29" i="33" a="1"/>
  <c r="F29" i="33"/>
  <c r="G29" i="33"/>
  <c r="D30" i="33" a="1"/>
  <c r="D30" i="33"/>
  <c r="F30" i="33" a="1"/>
  <c r="F30" i="33"/>
  <c r="G30" i="33"/>
  <c r="D31" i="33" a="1"/>
  <c r="D31" i="33"/>
  <c r="F31" i="33" a="1"/>
  <c r="F31" i="33"/>
  <c r="G31" i="33"/>
  <c r="D32" i="33" a="1"/>
  <c r="D32" i="33"/>
  <c r="F32" i="33" a="1"/>
  <c r="F32" i="33"/>
  <c r="G32" i="33"/>
  <c r="D33" i="33" a="1"/>
  <c r="D33" i="33"/>
  <c r="F33" i="33" a="1"/>
  <c r="F33" i="33"/>
  <c r="G33" i="33"/>
  <c r="D34" i="33" a="1"/>
  <c r="D34" i="33"/>
  <c r="F34" i="33" a="1"/>
  <c r="F34" i="33"/>
  <c r="G34" i="33"/>
  <c r="D35" i="33" a="1"/>
  <c r="D35" i="33"/>
  <c r="F35" i="33" a="1"/>
  <c r="F35" i="33"/>
  <c r="G35" i="33"/>
  <c r="D36" i="33" a="1"/>
  <c r="D36" i="33"/>
  <c r="F36" i="33" a="1"/>
  <c r="F36" i="33"/>
  <c r="G36" i="33"/>
  <c r="D37" i="33" a="1"/>
  <c r="D37" i="33"/>
  <c r="F37" i="33" a="1"/>
  <c r="F37" i="33"/>
  <c r="G37" i="33"/>
  <c r="D38" i="33" a="1"/>
  <c r="D38" i="33"/>
  <c r="F38" i="33" a="1"/>
  <c r="F38" i="33"/>
  <c r="G38" i="33"/>
  <c r="D39" i="33" a="1"/>
  <c r="D39" i="33"/>
  <c r="F39" i="33" a="1"/>
  <c r="F39" i="33"/>
  <c r="G39" i="33"/>
  <c r="D40" i="33" a="1"/>
  <c r="D40" i="33"/>
  <c r="F40" i="33" a="1"/>
  <c r="F40" i="33"/>
  <c r="G40" i="33"/>
  <c r="D41" i="33" a="1"/>
  <c r="D41" i="33"/>
  <c r="F41" i="33" a="1"/>
  <c r="F41" i="33"/>
  <c r="G41" i="33"/>
  <c r="D42" i="33" a="1"/>
  <c r="D42" i="33"/>
  <c r="F42" i="33" a="1"/>
  <c r="F42" i="33"/>
  <c r="G42" i="33"/>
  <c r="D43" i="33" a="1"/>
  <c r="D43" i="33"/>
  <c r="F43" i="33" a="1"/>
  <c r="F43" i="33"/>
  <c r="G43" i="33"/>
  <c r="D44" i="33" a="1"/>
  <c r="D44" i="33"/>
  <c r="F44" i="33" a="1"/>
  <c r="F44" i="33"/>
  <c r="G44" i="33"/>
  <c r="D45" i="33" a="1"/>
  <c r="D45" i="33"/>
  <c r="F45" i="33" a="1"/>
  <c r="F45" i="33"/>
  <c r="G45" i="33"/>
  <c r="D46" i="33" a="1"/>
  <c r="D46" i="33"/>
  <c r="F46" i="33" a="1"/>
  <c r="F46" i="33"/>
  <c r="G46" i="33"/>
  <c r="D47" i="33" a="1"/>
  <c r="D47" i="33"/>
  <c r="F47" i="33" a="1"/>
  <c r="F47" i="33"/>
  <c r="G47" i="33"/>
  <c r="D48" i="33" a="1"/>
  <c r="D48" i="33"/>
  <c r="F48" i="33" a="1"/>
  <c r="F48" i="33"/>
  <c r="G48" i="33"/>
  <c r="D49" i="33" a="1"/>
  <c r="D49" i="33"/>
  <c r="F49" i="33" a="1"/>
  <c r="F49" i="33"/>
  <c r="G49" i="33"/>
  <c r="D50" i="33" a="1"/>
  <c r="D50" i="33"/>
  <c r="F50" i="33" a="1"/>
  <c r="F50" i="33"/>
  <c r="G50" i="33"/>
  <c r="D51" i="33" a="1"/>
  <c r="D51" i="33"/>
  <c r="F51" i="33" a="1"/>
  <c r="F51" i="33"/>
  <c r="G51" i="33"/>
  <c r="D52" i="33" a="1"/>
  <c r="D52" i="33"/>
  <c r="F52" i="33" a="1"/>
  <c r="F52" i="33"/>
  <c r="G52" i="33"/>
  <c r="D53" i="33" a="1"/>
  <c r="D53" i="33"/>
  <c r="F53" i="33" a="1"/>
  <c r="F53" i="33"/>
  <c r="G53" i="33"/>
  <c r="D54" i="33" a="1"/>
  <c r="D54" i="33"/>
  <c r="F54" i="33" a="1"/>
  <c r="F54" i="33"/>
  <c r="G54" i="33"/>
  <c r="D55" i="33" a="1"/>
  <c r="D55" i="33"/>
  <c r="F55" i="33" a="1"/>
  <c r="F55" i="33"/>
  <c r="G55" i="33"/>
  <c r="D56" i="33" a="1"/>
  <c r="D56" i="33"/>
  <c r="F56" i="33" a="1"/>
  <c r="F56" i="33"/>
  <c r="G56" i="33"/>
  <c r="D57" i="33" a="1"/>
  <c r="D57" i="33"/>
  <c r="F57" i="33" a="1"/>
  <c r="F57" i="33"/>
  <c r="G57" i="33"/>
  <c r="D58" i="33" a="1"/>
  <c r="D58" i="33"/>
  <c r="F58" i="33" a="1"/>
  <c r="F58" i="33"/>
  <c r="G58" i="33"/>
  <c r="D59" i="33" a="1"/>
  <c r="D59" i="33"/>
  <c r="F59" i="33" a="1"/>
  <c r="F59" i="33"/>
  <c r="G59" i="33"/>
  <c r="D60" i="33" a="1"/>
  <c r="D60" i="33"/>
  <c r="F60" i="33" a="1"/>
  <c r="F60" i="33"/>
  <c r="G60" i="33"/>
  <c r="D61" i="33" a="1"/>
  <c r="D61" i="33"/>
  <c r="F61" i="33" a="1"/>
  <c r="F61" i="33"/>
  <c r="G61" i="33"/>
  <c r="D62" i="33" a="1"/>
  <c r="D62" i="33"/>
  <c r="F62" i="33" a="1"/>
  <c r="F62" i="33"/>
  <c r="G62" i="33"/>
  <c r="D63" i="33" a="1"/>
  <c r="D63" i="33"/>
  <c r="F63" i="33" a="1"/>
  <c r="F63" i="33"/>
  <c r="G63" i="33"/>
  <c r="D64" i="33" a="1"/>
  <c r="D64" i="33"/>
  <c r="F64" i="33" a="1"/>
  <c r="F64" i="33"/>
  <c r="G64" i="33"/>
  <c r="D65" i="33" a="1"/>
  <c r="D65" i="33"/>
  <c r="F65" i="33" a="1"/>
  <c r="F65" i="33"/>
  <c r="G65" i="33"/>
  <c r="D66" i="33" a="1"/>
  <c r="D66" i="33"/>
  <c r="F66" i="33" a="1"/>
  <c r="F66" i="33"/>
  <c r="G66" i="33"/>
  <c r="D67" i="33" a="1"/>
  <c r="D67" i="33"/>
  <c r="F67" i="33" a="1"/>
  <c r="F67" i="33"/>
  <c r="G67" i="33"/>
  <c r="D68" i="33" a="1"/>
  <c r="D68" i="33"/>
  <c r="F68" i="33" a="1"/>
  <c r="F68" i="33"/>
  <c r="G68" i="33"/>
  <c r="D69" i="33" a="1"/>
  <c r="D69" i="33"/>
  <c r="F69" i="33" a="1"/>
  <c r="F69" i="33"/>
  <c r="G69" i="33"/>
  <c r="D70" i="33" a="1"/>
  <c r="D70" i="33"/>
  <c r="F70" i="33" a="1"/>
  <c r="F70" i="33"/>
  <c r="G70" i="33"/>
  <c r="D71" i="33" a="1"/>
  <c r="D71" i="33"/>
  <c r="F71" i="33" a="1"/>
  <c r="F71" i="33"/>
  <c r="G71" i="33"/>
  <c r="D72" i="33" a="1"/>
  <c r="D72" i="33"/>
  <c r="F72" i="33" a="1"/>
  <c r="F72" i="33"/>
  <c r="G72" i="33"/>
  <c r="D73" i="33" a="1"/>
  <c r="D73" i="33"/>
  <c r="F73" i="33" a="1"/>
  <c r="F73" i="33"/>
  <c r="G73" i="33"/>
  <c r="D74" i="33" a="1"/>
  <c r="D74" i="33"/>
  <c r="F74" i="33" a="1"/>
  <c r="F74" i="33"/>
  <c r="G74" i="33"/>
  <c r="D75" i="33" a="1"/>
  <c r="D75" i="33"/>
  <c r="F75" i="33" a="1"/>
  <c r="F75" i="33"/>
  <c r="G75" i="33"/>
  <c r="D76" i="33" a="1"/>
  <c r="D76" i="33"/>
  <c r="F76" i="33" a="1"/>
  <c r="F76" i="33"/>
  <c r="G76" i="33"/>
  <c r="D77" i="33" a="1"/>
  <c r="D77" i="33"/>
  <c r="F77" i="33" a="1"/>
  <c r="F77" i="33"/>
  <c r="G77" i="33"/>
  <c r="D78" i="33" a="1"/>
  <c r="D78" i="33"/>
  <c r="F78" i="33" a="1"/>
  <c r="F78" i="33"/>
  <c r="G78" i="33"/>
  <c r="D79" i="33" a="1"/>
  <c r="D79" i="33"/>
  <c r="F79" i="33" a="1"/>
  <c r="F79" i="33"/>
  <c r="G79" i="33"/>
  <c r="D80" i="33" a="1"/>
  <c r="D80" i="33"/>
  <c r="F80" i="33" a="1"/>
  <c r="F80" i="33"/>
  <c r="G80" i="33"/>
  <c r="D81" i="33" a="1"/>
  <c r="D81" i="33"/>
  <c r="F81" i="33" a="1"/>
  <c r="F81" i="33"/>
  <c r="G81" i="33"/>
  <c r="D82" i="33" a="1"/>
  <c r="D82" i="33"/>
  <c r="F82" i="33" a="1"/>
  <c r="F82" i="33"/>
  <c r="G82" i="33"/>
  <c r="D83" i="33" a="1"/>
  <c r="D83" i="33"/>
  <c r="F83" i="33" a="1"/>
  <c r="F83" i="33"/>
  <c r="G83" i="33"/>
  <c r="D84" i="33" a="1"/>
  <c r="D84" i="33"/>
  <c r="F84" i="33" a="1"/>
  <c r="F84" i="33"/>
  <c r="G84" i="33"/>
  <c r="D85" i="33" a="1"/>
  <c r="D85" i="33"/>
  <c r="F85" i="33" a="1"/>
  <c r="F85" i="33"/>
  <c r="G85" i="33"/>
  <c r="D86" i="33" a="1"/>
  <c r="D86" i="33"/>
  <c r="F86" i="33" a="1"/>
  <c r="F86" i="33"/>
  <c r="G86" i="33"/>
  <c r="D87" i="33" a="1"/>
  <c r="D87" i="33"/>
  <c r="F87" i="33" a="1"/>
  <c r="F87" i="33"/>
  <c r="G87" i="33"/>
  <c r="D88" i="33" a="1"/>
  <c r="D88" i="33"/>
  <c r="F88" i="33" a="1"/>
  <c r="F88" i="33"/>
  <c r="G88" i="33"/>
  <c r="D89" i="33" a="1"/>
  <c r="D89" i="33"/>
  <c r="F89" i="33" a="1"/>
  <c r="F89" i="33"/>
  <c r="G89" i="33"/>
  <c r="D90" i="33" a="1"/>
  <c r="D90" i="33"/>
  <c r="F90" i="33" a="1"/>
  <c r="F90" i="33"/>
  <c r="G90" i="33"/>
  <c r="D91" i="33" a="1"/>
  <c r="D91" i="33"/>
  <c r="F91" i="33" a="1"/>
  <c r="F91" i="33"/>
  <c r="G91" i="33"/>
  <c r="D92" i="33" a="1"/>
  <c r="D92" i="33"/>
  <c r="F92" i="33" a="1"/>
  <c r="F92" i="33"/>
  <c r="G92" i="33"/>
  <c r="D93" i="33" a="1"/>
  <c r="D93" i="33"/>
  <c r="F93" i="33" a="1"/>
  <c r="F93" i="33"/>
  <c r="G93" i="33"/>
  <c r="D94" i="33" a="1"/>
  <c r="D94" i="33"/>
  <c r="F94" i="33" a="1"/>
  <c r="F94" i="33"/>
  <c r="G94" i="33"/>
  <c r="D95" i="33" a="1"/>
  <c r="D95" i="33"/>
  <c r="F95" i="33" a="1"/>
  <c r="F95" i="33"/>
  <c r="G95" i="33"/>
  <c r="D96" i="33" a="1"/>
  <c r="D96" i="33"/>
  <c r="F96" i="33" a="1"/>
  <c r="F96" i="33"/>
  <c r="G96" i="33"/>
  <c r="D97" i="33" a="1"/>
  <c r="D97" i="33"/>
  <c r="F97" i="33" a="1"/>
  <c r="F97" i="33"/>
  <c r="G97" i="33"/>
  <c r="D98" i="33" a="1"/>
  <c r="D98" i="33"/>
  <c r="F98" i="33" a="1"/>
  <c r="F98" i="33"/>
  <c r="G98" i="33"/>
  <c r="D99" i="33" a="1"/>
  <c r="D99" i="33"/>
  <c r="F99" i="33" a="1"/>
  <c r="F99" i="33"/>
  <c r="G99" i="33"/>
  <c r="D100" i="33" a="1"/>
  <c r="D100" i="33"/>
  <c r="F100" i="33" a="1"/>
  <c r="F100" i="33"/>
  <c r="G100" i="33"/>
  <c r="D101" i="33" a="1"/>
  <c r="D101" i="33"/>
  <c r="F101" i="33" a="1"/>
  <c r="F101" i="33"/>
  <c r="G101" i="33"/>
  <c r="D102" i="33" a="1"/>
  <c r="D102" i="33"/>
  <c r="F102" i="33" a="1"/>
  <c r="F102" i="33"/>
  <c r="G102" i="33"/>
  <c r="D103" i="33" a="1"/>
  <c r="D103" i="33"/>
  <c r="F103" i="33" a="1"/>
  <c r="F103" i="33"/>
  <c r="G103" i="33"/>
  <c r="D104" i="33" a="1"/>
  <c r="D104" i="33"/>
  <c r="F104" i="33" a="1"/>
  <c r="F104" i="33"/>
  <c r="G104" i="33"/>
  <c r="D105" i="33" a="1"/>
  <c r="D105" i="33"/>
  <c r="F105" i="33" a="1"/>
  <c r="F105" i="33"/>
  <c r="G105" i="33"/>
  <c r="D106" i="33" a="1"/>
  <c r="D106" i="33"/>
  <c r="F106" i="33" a="1"/>
  <c r="F106" i="33"/>
  <c r="G106" i="33"/>
  <c r="D107" i="33" a="1"/>
  <c r="D107" i="33"/>
  <c r="F107" i="33" a="1"/>
  <c r="F107" i="33"/>
  <c r="G107" i="33"/>
  <c r="D108" i="33" a="1"/>
  <c r="D108" i="33"/>
  <c r="F108" i="33" a="1"/>
  <c r="F108" i="33"/>
  <c r="G108" i="33"/>
  <c r="D109" i="33" a="1"/>
  <c r="D109" i="33"/>
  <c r="F109" i="33" a="1"/>
  <c r="F109" i="33"/>
  <c r="G109" i="33"/>
  <c r="D9" i="33" a="1"/>
  <c r="D9" i="33"/>
  <c r="F9" i="33" a="1"/>
  <c r="F9" i="33"/>
  <c r="G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0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4" i="33"/>
  <c r="E85" i="33"/>
  <c r="E86" i="33"/>
  <c r="E87" i="33"/>
  <c r="E88" i="33"/>
  <c r="E89" i="33"/>
  <c r="E90" i="33"/>
  <c r="E91" i="33"/>
  <c r="E92" i="33"/>
  <c r="E93" i="33"/>
  <c r="E94" i="33"/>
  <c r="E95" i="33"/>
  <c r="E96" i="33"/>
  <c r="E97" i="33"/>
  <c r="E98" i="33"/>
  <c r="E99" i="33"/>
  <c r="E100" i="33"/>
  <c r="E101" i="33"/>
  <c r="E102" i="33"/>
  <c r="E103" i="33"/>
  <c r="E104" i="33"/>
  <c r="E105" i="33"/>
  <c r="E106" i="33"/>
  <c r="E107" i="33"/>
  <c r="E108" i="33"/>
  <c r="E109" i="33"/>
  <c r="E9" i="33"/>
  <c r="C109" i="33"/>
  <c r="C108" i="33"/>
  <c r="C107" i="33"/>
  <c r="C106" i="33"/>
  <c r="C105" i="33"/>
  <c r="C104" i="33"/>
  <c r="C103" i="33"/>
  <c r="C102" i="33"/>
  <c r="C101" i="33"/>
  <c r="C100" i="33"/>
  <c r="C99" i="33"/>
  <c r="C98" i="33"/>
  <c r="C97" i="33"/>
  <c r="C96" i="33"/>
  <c r="C95" i="33"/>
  <c r="C94" i="33"/>
  <c r="C93" i="33"/>
  <c r="C92" i="33"/>
  <c r="C91" i="33"/>
  <c r="C90" i="33"/>
  <c r="C89" i="33"/>
  <c r="C88" i="33"/>
  <c r="C87" i="33"/>
  <c r="C86" i="33"/>
  <c r="C85" i="33"/>
  <c r="C84" i="33"/>
  <c r="C83" i="33"/>
  <c r="C82" i="33"/>
  <c r="C81" i="33"/>
  <c r="C80" i="33"/>
  <c r="C79" i="33"/>
  <c r="C78" i="33"/>
  <c r="C77" i="33"/>
  <c r="C76" i="33"/>
  <c r="C75" i="33"/>
  <c r="C74" i="33"/>
  <c r="C73" i="33"/>
  <c r="C72" i="33"/>
  <c r="C71" i="33"/>
  <c r="C70" i="33"/>
  <c r="C69" i="33"/>
  <c r="C68" i="33"/>
  <c r="C67" i="33"/>
  <c r="C66" i="33"/>
  <c r="C65" i="33"/>
  <c r="C64" i="33"/>
  <c r="C63" i="33"/>
  <c r="C62" i="33"/>
  <c r="C61" i="33"/>
  <c r="C60" i="33"/>
  <c r="C59" i="33"/>
  <c r="C58" i="33"/>
  <c r="C57" i="33"/>
  <c r="C56" i="33"/>
  <c r="C55" i="33"/>
  <c r="C54" i="33"/>
  <c r="C53" i="33"/>
  <c r="C52" i="33"/>
  <c r="C51" i="33"/>
  <c r="C50" i="33"/>
  <c r="C49" i="33"/>
  <c r="C48" i="33"/>
  <c r="C47" i="33"/>
  <c r="C46" i="33"/>
  <c r="C45" i="33"/>
  <c r="C44" i="33"/>
  <c r="C43" i="33"/>
  <c r="C42" i="33"/>
  <c r="C41" i="33"/>
  <c r="C40" i="33"/>
  <c r="C39" i="33"/>
  <c r="C38" i="33"/>
  <c r="C37" i="33"/>
  <c r="C36" i="33"/>
  <c r="C35" i="33"/>
  <c r="C34" i="33"/>
  <c r="C33" i="33"/>
  <c r="C32" i="33"/>
  <c r="C31" i="33"/>
  <c r="C30" i="33"/>
  <c r="C29" i="33"/>
  <c r="C28" i="33"/>
  <c r="C27" i="33"/>
  <c r="C26" i="33"/>
  <c r="C25" i="33"/>
  <c r="C24" i="33"/>
  <c r="C23" i="33"/>
  <c r="C22" i="33"/>
  <c r="C21" i="33"/>
  <c r="C20" i="33"/>
  <c r="C19" i="33"/>
  <c r="C18" i="33"/>
  <c r="C17" i="33"/>
  <c r="C16" i="33"/>
  <c r="C15" i="33"/>
  <c r="C14" i="33"/>
  <c r="C13" i="33"/>
  <c r="C12" i="33"/>
  <c r="C11" i="33"/>
  <c r="C10" i="33"/>
  <c r="C9" i="33"/>
  <c r="C10" i="32"/>
  <c r="B10" i="32"/>
  <c r="B2" i="32"/>
  <c r="B15" i="31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9" i="29"/>
  <c r="B12" i="27"/>
  <c r="B9" i="32" a="1"/>
  <c r="B8" i="32" a="1"/>
  <c r="B16" i="31" a="1"/>
  <c r="B10" i="29" a="1"/>
  <c r="B18" i="29" a="1"/>
  <c r="B26" i="29" a="1"/>
  <c r="B34" i="29" a="1"/>
  <c r="B42" i="29" a="1"/>
  <c r="B50" i="29" a="1"/>
  <c r="B58" i="29" a="1"/>
  <c r="B66" i="29" a="1"/>
  <c r="B74" i="29" a="1"/>
  <c r="B82" i="29" a="1"/>
  <c r="B90" i="29" a="1"/>
  <c r="B98" i="29" a="1"/>
  <c r="B106" i="29" a="1"/>
  <c r="B76" i="29" a="1"/>
  <c r="B92" i="29" a="1"/>
  <c r="B108" i="29" a="1"/>
  <c r="B109" i="29" a="1"/>
  <c r="B46" i="29" a="1"/>
  <c r="B94" i="29" a="1"/>
  <c r="B55" i="29" a="1"/>
  <c r="B87" i="29" a="1"/>
  <c r="B56" i="29" a="1"/>
  <c r="B73" i="29" a="1"/>
  <c r="B52" i="29" a="1"/>
  <c r="B64" i="29" a="1"/>
  <c r="B57" i="29" a="1"/>
  <c r="B11" i="29" a="1"/>
  <c r="B19" i="29" a="1"/>
  <c r="B27" i="29" a="1"/>
  <c r="B35" i="29" a="1"/>
  <c r="B43" i="29" a="1"/>
  <c r="B51" i="29" a="1"/>
  <c r="B59" i="29" a="1"/>
  <c r="B67" i="29" a="1"/>
  <c r="B75" i="29" a="1"/>
  <c r="B83" i="29" a="1"/>
  <c r="B91" i="29" a="1"/>
  <c r="B99" i="29" a="1"/>
  <c r="B107" i="29" a="1"/>
  <c r="B68" i="29" a="1"/>
  <c r="B100" i="29" a="1"/>
  <c r="B85" i="29" a="1"/>
  <c r="B54" i="29" a="1"/>
  <c r="B78" i="29" a="1"/>
  <c r="B31" i="29" a="1"/>
  <c r="B63" i="29" a="1"/>
  <c r="B103" i="29" a="1"/>
  <c r="B24" i="29" a="1"/>
  <c r="B104" i="29" a="1"/>
  <c r="B33" i="29" a="1"/>
  <c r="B44" i="29" a="1"/>
  <c r="B16" i="29" a="1"/>
  <c r="B41" i="29" a="1"/>
  <c r="B12" i="29" a="1"/>
  <c r="B20" i="29" a="1"/>
  <c r="B28" i="29" a="1"/>
  <c r="B36" i="29" a="1"/>
  <c r="B60" i="29" a="1"/>
  <c r="B84" i="29" a="1"/>
  <c r="B30" i="29" a="1"/>
  <c r="B62" i="29" a="1"/>
  <c r="B86" i="29" a="1"/>
  <c r="B47" i="29" a="1"/>
  <c r="B79" i="29" a="1"/>
  <c r="B95" i="29" a="1"/>
  <c r="B40" i="29" a="1"/>
  <c r="B88" i="29" a="1"/>
  <c r="B49" i="29" a="1"/>
  <c r="B97" i="29" a="1"/>
  <c r="B45" i="29" a="1"/>
  <c r="B72" i="29" a="1"/>
  <c r="B89" i="29" a="1"/>
  <c r="B13" i="29" a="1"/>
  <c r="B21" i="29" a="1"/>
  <c r="B29" i="29" a="1"/>
  <c r="B37" i="29" a="1"/>
  <c r="B53" i="29" a="1"/>
  <c r="B61" i="29" a="1"/>
  <c r="B69" i="29" a="1"/>
  <c r="B77" i="29" a="1"/>
  <c r="B93" i="29" a="1"/>
  <c r="B101" i="29" a="1"/>
  <c r="B38" i="29" a="1"/>
  <c r="B70" i="29" a="1"/>
  <c r="B102" i="29" a="1"/>
  <c r="B39" i="29" a="1"/>
  <c r="B71" i="29" a="1"/>
  <c r="B48" i="29" a="1"/>
  <c r="B80" i="29" a="1"/>
  <c r="B25" i="29" a="1"/>
  <c r="B105" i="29" a="1"/>
  <c r="B22" i="29" a="1"/>
  <c r="B81" i="29" a="1"/>
  <c r="B14" i="29" a="1"/>
  <c r="B23" i="29" a="1"/>
  <c r="B32" i="29" a="1"/>
  <c r="B17" i="29" a="1"/>
  <c r="B15" i="29" a="1"/>
  <c r="B96" i="29" a="1"/>
  <c r="B65" i="29" a="1"/>
  <c r="B9" i="29" a="1"/>
  <c r="B7" i="28" a="1"/>
  <c r="E2" i="27" a="1"/>
  <c r="E1" i="27" a="1"/>
  <c r="B9" i="27" a="1"/>
  <c r="B8" i="27" a="1"/>
  <c r="B7" i="26" a="1"/>
  <c r="B8" i="32"/>
  <c r="B9" i="32"/>
  <c r="B16" i="31"/>
  <c r="B65" i="29"/>
  <c r="B96" i="29"/>
  <c r="B15" i="29"/>
  <c r="B17" i="29"/>
  <c r="B32" i="29"/>
  <c r="B23" i="29"/>
  <c r="B14" i="29"/>
  <c r="B81" i="29"/>
  <c r="B22" i="29"/>
  <c r="B105" i="29"/>
  <c r="B25" i="29"/>
  <c r="B80" i="29"/>
  <c r="B48" i="29"/>
  <c r="B71" i="29"/>
  <c r="B39" i="29"/>
  <c r="B102" i="29"/>
  <c r="B70" i="29"/>
  <c r="B38" i="29"/>
  <c r="B101" i="29"/>
  <c r="B93" i="29"/>
  <c r="B77" i="29"/>
  <c r="B69" i="29"/>
  <c r="B61" i="29"/>
  <c r="B53" i="29"/>
  <c r="B37" i="29"/>
  <c r="B29" i="29"/>
  <c r="B21" i="29"/>
  <c r="B13" i="29"/>
  <c r="B89" i="29"/>
  <c r="B72" i="29"/>
  <c r="B45" i="29"/>
  <c r="B97" i="29"/>
  <c r="B49" i="29"/>
  <c r="B88" i="29"/>
  <c r="B40" i="29"/>
  <c r="B95" i="29"/>
  <c r="B79" i="29"/>
  <c r="B47" i="29"/>
  <c r="B86" i="29"/>
  <c r="B62" i="29"/>
  <c r="B30" i="29"/>
  <c r="B84" i="29"/>
  <c r="B60" i="29"/>
  <c r="B36" i="29"/>
  <c r="B28" i="29"/>
  <c r="B20" i="29"/>
  <c r="B12" i="29"/>
  <c r="B41" i="29"/>
  <c r="B16" i="29"/>
  <c r="B44" i="29"/>
  <c r="B33" i="29"/>
  <c r="B104" i="29"/>
  <c r="B24" i="29"/>
  <c r="B103" i="29"/>
  <c r="B63" i="29"/>
  <c r="B31" i="29"/>
  <c r="B78" i="29"/>
  <c r="B54" i="29"/>
  <c r="B85" i="29"/>
  <c r="B100" i="29"/>
  <c r="B68" i="29"/>
  <c r="B107" i="29"/>
  <c r="B99" i="29"/>
  <c r="B91" i="29"/>
  <c r="B83" i="29"/>
  <c r="B75" i="29"/>
  <c r="B67" i="29"/>
  <c r="B59" i="29"/>
  <c r="B51" i="29"/>
  <c r="B43" i="29"/>
  <c r="B35" i="29"/>
  <c r="B27" i="29"/>
  <c r="B19" i="29"/>
  <c r="B11" i="29"/>
  <c r="B57" i="29"/>
  <c r="B64" i="29"/>
  <c r="B52" i="29"/>
  <c r="B73" i="29"/>
  <c r="B56" i="29"/>
  <c r="B87" i="29"/>
  <c r="B55" i="29"/>
  <c r="B94" i="29"/>
  <c r="B46" i="29"/>
  <c r="B109" i="29"/>
  <c r="B108" i="29"/>
  <c r="B92" i="29"/>
  <c r="B76" i="29"/>
  <c r="B106" i="29"/>
  <c r="B98" i="29"/>
  <c r="B90" i="29"/>
  <c r="B82" i="29"/>
  <c r="B74" i="29"/>
  <c r="B66" i="29"/>
  <c r="B58" i="29"/>
  <c r="B50" i="29"/>
  <c r="B42" i="29"/>
  <c r="B34" i="29"/>
  <c r="B26" i="29"/>
  <c r="B18" i="29"/>
  <c r="B10" i="29"/>
  <c r="B9" i="29"/>
  <c r="B7" i="28"/>
  <c r="E2" i="27"/>
  <c r="E1" i="27"/>
  <c r="B9" i="27"/>
  <c r="D9" i="27"/>
  <c r="B8" i="27"/>
  <c r="B7" i="26"/>
  <c r="E3" i="27"/>
  <c r="B11" i="27"/>
  <c r="D8" i="2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<sst xmlns="http://schemas.openxmlformats.org/spreadsheetml/2006/main" count="88" uniqueCount="39">
  <si>
    <t>T</t>
  </si>
  <si>
    <t>K</t>
  </si>
  <si>
    <t>S0</t>
  </si>
  <si>
    <t>vol</t>
  </si>
  <si>
    <t>r</t>
  </si>
  <si>
    <t>Prix call</t>
  </si>
  <si>
    <t>Prix put</t>
  </si>
  <si>
    <t>C0 - P0</t>
  </si>
  <si>
    <t>S0 - K exp(-rT)</t>
  </si>
  <si>
    <t>V0</t>
  </si>
  <si>
    <t>Variation</t>
  </si>
  <si>
    <t>Call delta</t>
  </si>
  <si>
    <t>Put delta</t>
  </si>
  <si>
    <t>Strike</t>
  </si>
  <si>
    <t>Prix</t>
  </si>
  <si>
    <t>Vol implicite</t>
  </si>
  <si>
    <t>Call</t>
  </si>
  <si>
    <t>Forward</t>
  </si>
  <si>
    <t>Exo</t>
  </si>
  <si>
    <t>le cours de l'actif sous jacent est égal à 22</t>
  </si>
  <si>
    <t>taux d'intérêt 4%, pas de dividendes, volatilité implicite 18%</t>
  </si>
  <si>
    <t>Déterminer le prix du put sans utiliser BS, vérifier ensuite avec BS</t>
  </si>
  <si>
    <t>Le put est très très ITM, son prix est proche de celui du forward</t>
  </si>
  <si>
    <t>Le call correspondant est très OTM, il faut quasi 0</t>
  </si>
  <si>
    <t>Approx</t>
  </si>
  <si>
    <t>On s'intéresse à un put de strike 50 et de maturité 3 mois sur un actif sans dividendes</t>
  </si>
  <si>
    <t>BS</t>
  </si>
  <si>
    <t>Delta</t>
  </si>
  <si>
    <t>Delta x50</t>
  </si>
  <si>
    <t>Gamma</t>
  </si>
  <si>
    <t>Gamma x2500</t>
  </si>
  <si>
    <t>Véga</t>
  </si>
  <si>
    <t>Thêta</t>
  </si>
  <si>
    <t>| Thêta x10 |</t>
  </si>
  <si>
    <t>Dt</t>
  </si>
  <si>
    <t>mu</t>
  </si>
  <si>
    <t>alpha</t>
  </si>
  <si>
    <t>d</t>
  </si>
  <si>
    <t>Proba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</si>
</sst>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0" fontId="0" fillId="0" borderId="0" xfId="0" applyNumberFormat="1"/>
    <xf numFmtId="10" fontId="1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5" Type="http://schemas.openxmlformats.org/officeDocument/2006/relationships/chartsheet" Target="chartsheets/sheet1.xml"/><Relationship Id="rId15" Type="http://schemas.openxmlformats.org/officeDocument/2006/relationships/sheetMetadata" Target="metadata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Smile de volatilité (skew)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Smile!$F$1</c:f>
              <c:strCache>
                <c:ptCount val="1"/>
                <c:pt idx="0">
                  <c:v>Vol implicite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Smile!$D$2:$D$4</c:f>
              <c:numCache>
                <c:formatCode>General</c:formatCode>
                <c:ptCount val="3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</c:numCache>
            </c:numRef>
          </c:xVal>
          <c:yVal>
            <c:numRef>
              <c:f>Smile!$F$2:$F$4</c:f>
              <c:numCache>
                <c:formatCode>0.00%</c:formatCode>
                <c:ptCount val="3"/>
                <c:pt idx="0">
                  <c:v>0.24540000000000001</c:v>
                </c:pt>
                <c:pt idx="1">
                  <c:v>0.20860000000000001</c:v>
                </c:pt>
                <c:pt idx="2">
                  <c:v>0.1946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2-42D5-982C-1FEB21115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14256"/>
        <c:axId val="1837316176"/>
      </c:scatterChart>
      <c:valAx>
        <c:axId val="1837314256"/>
        <c:scaling>
          <c:orientation val="minMax"/>
          <c:min val="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316176"/>
        <c:crosses val="autoZero"/>
        <c:crossBetween val="midCat"/>
      </c:valAx>
      <c:valAx>
        <c:axId val="1837316176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31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'Call en fct S0'!$B$8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'Call en fct S0'!$A$9:$A$109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'Call en fct S0'!$B$9:$B$109</c:f>
              <c:numCache>
                <c:formatCode>General</c:formatCode>
                <c:ptCount val="101"/>
                <c:pt idx="0">
                  <c:v>1.2553851033468468E-3</c:v>
                </c:pt>
                <c:pt idx="1">
                  <c:v>1.8535705625750661E-3</c:v>
                </c:pt>
                <c:pt idx="2">
                  <c:v>2.6931696202970143E-3</c:v>
                </c:pt>
                <c:pt idx="3">
                  <c:v>3.8538257030165902E-3</c:v>
                </c:pt>
                <c:pt idx="4">
                  <c:v>5.4352949896783456E-3</c:v>
                </c:pt>
                <c:pt idx="5">
                  <c:v>7.5607544480032589E-3</c:v>
                </c:pt>
                <c:pt idx="6">
                  <c:v>1.0380239676726712E-2</c:v>
                </c:pt>
                <c:pt idx="7">
                  <c:v>1.4074131461206753E-2</c:v>
                </c:pt>
                <c:pt idx="8">
                  <c:v>1.8856598251942389E-2</c:v>
                </c:pt>
                <c:pt idx="9">
                  <c:v>2.4978893073787874E-2</c:v>
                </c:pt>
                <c:pt idx="10">
                  <c:v>3.2732398262000098E-2</c:v>
                </c:pt>
                <c:pt idx="11">
                  <c:v>4.2451310304189228E-2</c:v>
                </c:pt>
                <c:pt idx="12">
                  <c:v>5.4514860136629532E-2</c:v>
                </c:pt>
                <c:pt idx="13">
                  <c:v>6.9348971469880311E-2</c:v>
                </c:pt>
                <c:pt idx="14">
                  <c:v>8.7427270859128672E-2</c:v>
                </c:pt>
                <c:pt idx="15">
                  <c:v>0.10927137785249373</c:v>
                </c:pt>
                <c:pt idx="16">
                  <c:v>0.13545042104722396</c:v>
                </c:pt>
                <c:pt idx="17">
                  <c:v>0.16657974553832375</c:v>
                </c:pt>
                <c:pt idx="18">
                  <c:v>0.20331879825768173</c:v>
                </c:pt>
                <c:pt idx="19">
                  <c:v>0.24636819924173428</c:v>
                </c:pt>
                <c:pt idx="20">
                  <c:v>0.29646602811105754</c:v>
                </c:pt>
                <c:pt idx="21">
                  <c:v>0.35438337522443664</c:v>
                </c:pt>
                <c:pt idx="22">
                  <c:v>0.42091922539524856</c:v>
                </c:pt>
                <c:pt idx="23">
                  <c:v>0.49689475815066891</c:v>
                </c:pt>
                <c:pt idx="24">
                  <c:v>0.58314716182285142</c:v>
                </c:pt>
                <c:pt idx="25">
                  <c:v>0.68052306897048198</c:v>
                </c:pt>
                <c:pt idx="26">
                  <c:v>0.78987172756323809</c:v>
                </c:pt>
                <c:pt idx="27">
                  <c:v>0.91203802597694295</c:v>
                </c:pt>
                <c:pt idx="28">
                  <c:v>1.0478554902252961</c:v>
                </c:pt>
                <c:pt idx="29">
                  <c:v>1.1981393691822406</c:v>
                </c:pt>
                <c:pt idx="30">
                  <c:v>1.3636799181063297</c:v>
                </c:pt>
                <c:pt idx="31">
                  <c:v>1.5452359829136488</c:v>
                </c:pt>
                <c:pt idx="32">
                  <c:v>1.7435289777558851</c:v>
                </c:pt>
                <c:pt idx="33">
                  <c:v>1.959237336973513</c:v>
                </c:pt>
                <c:pt idx="34">
                  <c:v>2.1929915098482757</c:v>
                </c:pt>
                <c:pt idx="35">
                  <c:v>2.4453695532062887</c:v>
                </c:pt>
                <c:pt idx="36">
                  <c:v>2.7168933632349375</c:v>
                </c:pt>
                <c:pt idx="37">
                  <c:v>3.0080255742520707</c:v>
                </c:pt>
                <c:pt idx="38">
                  <c:v>3.3191671389440596</c:v>
                </c:pt>
                <c:pt idx="39">
                  <c:v>3.6506555920596484</c:v>
                </c:pt>
                <c:pt idx="40">
                  <c:v>4.0027639879510177</c:v>
                </c:pt>
                <c:pt idx="41">
                  <c:v>4.3757004918781854</c:v>
                </c:pt>
                <c:pt idx="42">
                  <c:v>4.7696085957763703</c:v>
                </c:pt>
                <c:pt idx="43">
                  <c:v>5.1845679213136506</c:v>
                </c:pt>
                <c:pt idx="44">
                  <c:v>5.6205955665821694</c:v>
                </c:pt>
                <c:pt idx="45">
                  <c:v>6.0776479476704202</c:v>
                </c:pt>
                <c:pt idx="46">
                  <c:v>6.5556230826238941</c:v>
                </c:pt>
                <c:pt idx="47">
                  <c:v>7.0543632628526751</c:v>
                </c:pt>
                <c:pt idx="48">
                  <c:v>7.573658055800176</c:v>
                </c:pt>
                <c:pt idx="49">
                  <c:v>8.113247582541895</c:v>
                </c:pt>
                <c:pt idx="50">
                  <c:v>8.6728260148180123</c:v>
                </c:pt>
                <c:pt idx="51">
                  <c:v>9.2520452376923945</c:v>
                </c:pt>
                <c:pt idx="52">
                  <c:v>9.8505186264439448</c:v>
                </c:pt>
                <c:pt idx="53">
                  <c:v>10.467824889303939</c:v>
                </c:pt>
                <c:pt idx="54">
                  <c:v>11.103511931128228</c:v>
                </c:pt>
                <c:pt idx="55">
                  <c:v>11.757100696918911</c:v>
                </c:pt>
                <c:pt idx="56">
                  <c:v>12.428088958169795</c:v>
                </c:pt>
                <c:pt idx="57">
                  <c:v>13.115955009207074</c:v>
                </c:pt>
                <c:pt idx="58">
                  <c:v>13.82016124493525</c:v>
                </c:pt>
                <c:pt idx="59">
                  <c:v>14.540157595601688</c:v>
                </c:pt>
                <c:pt idx="60">
                  <c:v>15.275384798290871</c:v>
                </c:pt>
                <c:pt idx="61">
                  <c:v>16.025277488795165</c:v>
                </c:pt>
                <c:pt idx="62">
                  <c:v>16.789267101236746</c:v>
                </c:pt>
                <c:pt idx="63">
                  <c:v>17.566784566298537</c:v>
                </c:pt>
                <c:pt idx="64">
                  <c:v>18.357262802134787</c:v>
                </c:pt>
                <c:pt idx="65">
                  <c:v>19.160138994957151</c:v>
                </c:pt>
                <c:pt idx="66">
                  <c:v>19.97485666891896</c:v>
                </c:pt>
                <c:pt idx="67">
                  <c:v>20.800867547246614</c:v>
                </c:pt>
                <c:pt idx="68">
                  <c:v>21.637633208594924</c:v>
                </c:pt>
                <c:pt idx="69">
                  <c:v>22.484626544340756</c:v>
                </c:pt>
                <c:pt idx="70">
                  <c:v>23.341333023988231</c:v>
                </c:pt>
                <c:pt idx="71">
                  <c:v>24.207251777052988</c:v>
                </c:pt>
                <c:pt idx="72">
                  <c:v>25.081896500741223</c:v>
                </c:pt>
                <c:pt idx="73">
                  <c:v>25.964796203458938</c:v>
                </c:pt>
                <c:pt idx="74">
                  <c:v>26.855495794697987</c:v>
                </c:pt>
                <c:pt idx="75">
                  <c:v>27.753556532170677</c:v>
                </c:pt>
                <c:pt idx="76">
                  <c:v>28.658556337220496</c:v>
                </c:pt>
                <c:pt idx="77">
                  <c:v>29.570089989547512</c:v>
                </c:pt>
                <c:pt idx="78">
                  <c:v>30.487769212169237</c:v>
                </c:pt>
                <c:pt idx="79">
                  <c:v>31.411222657312369</c:v>
                </c:pt>
                <c:pt idx="80">
                  <c:v>32.340095803613913</c:v>
                </c:pt>
                <c:pt idx="81">
                  <c:v>33.274050774619234</c:v>
                </c:pt>
                <c:pt idx="82">
                  <c:v>34.212766088113852</c:v>
                </c:pt>
                <c:pt idx="83">
                  <c:v>35.155936345330296</c:v>
                </c:pt>
                <c:pt idx="84">
                  <c:v>36.103271868541931</c:v>
                </c:pt>
                <c:pt idx="85">
                  <c:v>37.054498295004876</c:v>
                </c:pt>
                <c:pt idx="86">
                  <c:v>38.009356134646069</c:v>
                </c:pt>
                <c:pt idx="87">
                  <c:v>38.967600298328499</c:v>
                </c:pt>
                <c:pt idx="88">
                  <c:v>39.928999602961568</c:v>
                </c:pt>
                <c:pt idx="89">
                  <c:v>40.893336259170582</c:v>
                </c:pt>
                <c:pt idx="90">
                  <c:v>41.860405346701597</c:v>
                </c:pt>
                <c:pt idx="91">
                  <c:v>42.830014282217292</c:v>
                </c:pt>
                <c:pt idx="92">
                  <c:v>43.801982283642701</c:v>
                </c:pt>
                <c:pt idx="93">
                  <c:v>44.776139834747504</c:v>
                </c:pt>
                <c:pt idx="94">
                  <c:v>45.752328153204857</c:v>
                </c:pt>
                <c:pt idx="95">
                  <c:v>46.730398664949995</c:v>
                </c:pt>
                <c:pt idx="96">
                  <c:v>47.710212487270994</c:v>
                </c:pt>
                <c:pt idx="97">
                  <c:v>48.691639922704653</c:v>
                </c:pt>
                <c:pt idx="98">
                  <c:v>49.674559965477208</c:v>
                </c:pt>
                <c:pt idx="99">
                  <c:v>50.658859821926356</c:v>
                </c:pt>
                <c:pt idx="100">
                  <c:v>51.644434446063123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0-4FCB-9D97-2DA0444E27FB}"/>
            </c:ext>
          </c:extLst>
        </c:ser>
        <c:ser>
          <c:idx val="1"/>
          <c:order val="1"/>
          <c:tx>
            <c:strRef>
              <c:f>'Call en fct S0'!$C$8</c:f>
              <c:strCache>
                <c:ptCount val="1"/>
                <c:pt idx="0">
                  <c:v>Forward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'Call en fct S0'!$A$9:$A$109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'Call en fct S0'!$C$9:$C$109</c:f>
              <c:numCache>
                <c:formatCode>General</c:formatCode>
                <c:ptCount val="101"/>
                <c:pt idx="0">
                  <c:v>-48.511193960306258</c:v>
                </c:pt>
                <c:pt idx="1">
                  <c:v>-47.511193960306258</c:v>
                </c:pt>
                <c:pt idx="2">
                  <c:v>-46.511193960306258</c:v>
                </c:pt>
                <c:pt idx="3">
                  <c:v>-45.511193960306258</c:v>
                </c:pt>
                <c:pt idx="4">
                  <c:v>-44.511193960306258</c:v>
                </c:pt>
                <c:pt idx="5">
                  <c:v>-43.511193960306258</c:v>
                </c:pt>
                <c:pt idx="6">
                  <c:v>-42.511193960306258</c:v>
                </c:pt>
                <c:pt idx="7">
                  <c:v>-41.511193960306258</c:v>
                </c:pt>
                <c:pt idx="8">
                  <c:v>-40.511193960306258</c:v>
                </c:pt>
                <c:pt idx="9">
                  <c:v>-39.511193960306258</c:v>
                </c:pt>
                <c:pt idx="10">
                  <c:v>-38.511193960306258</c:v>
                </c:pt>
                <c:pt idx="11">
                  <c:v>-37.511193960306258</c:v>
                </c:pt>
                <c:pt idx="12">
                  <c:v>-36.511193960306258</c:v>
                </c:pt>
                <c:pt idx="13">
                  <c:v>-35.511193960306258</c:v>
                </c:pt>
                <c:pt idx="14">
                  <c:v>-34.511193960306258</c:v>
                </c:pt>
                <c:pt idx="15">
                  <c:v>-33.511193960306258</c:v>
                </c:pt>
                <c:pt idx="16">
                  <c:v>-32.511193960306258</c:v>
                </c:pt>
                <c:pt idx="17">
                  <c:v>-31.511193960306258</c:v>
                </c:pt>
                <c:pt idx="18">
                  <c:v>-30.511193960306258</c:v>
                </c:pt>
                <c:pt idx="19">
                  <c:v>-29.511193960306258</c:v>
                </c:pt>
                <c:pt idx="20">
                  <c:v>-28.511193960306258</c:v>
                </c:pt>
                <c:pt idx="21">
                  <c:v>-27.511193960306258</c:v>
                </c:pt>
                <c:pt idx="22">
                  <c:v>-26.511193960306258</c:v>
                </c:pt>
                <c:pt idx="23">
                  <c:v>-25.511193960306258</c:v>
                </c:pt>
                <c:pt idx="24">
                  <c:v>-24.511193960306258</c:v>
                </c:pt>
                <c:pt idx="25">
                  <c:v>-23.511193960306258</c:v>
                </c:pt>
                <c:pt idx="26">
                  <c:v>-22.511193960306258</c:v>
                </c:pt>
                <c:pt idx="27">
                  <c:v>-21.511193960306258</c:v>
                </c:pt>
                <c:pt idx="28">
                  <c:v>-20.511193960306258</c:v>
                </c:pt>
                <c:pt idx="29">
                  <c:v>-19.511193960306258</c:v>
                </c:pt>
                <c:pt idx="30">
                  <c:v>-18.511193960306258</c:v>
                </c:pt>
                <c:pt idx="31">
                  <c:v>-17.511193960306258</c:v>
                </c:pt>
                <c:pt idx="32">
                  <c:v>-16.511193960306258</c:v>
                </c:pt>
                <c:pt idx="33">
                  <c:v>-15.511193960306258</c:v>
                </c:pt>
                <c:pt idx="34">
                  <c:v>-14.511193960306258</c:v>
                </c:pt>
                <c:pt idx="35">
                  <c:v>-13.511193960306258</c:v>
                </c:pt>
                <c:pt idx="36">
                  <c:v>-12.511193960306258</c:v>
                </c:pt>
                <c:pt idx="37">
                  <c:v>-11.511193960306258</c:v>
                </c:pt>
                <c:pt idx="38">
                  <c:v>-10.511193960306258</c:v>
                </c:pt>
                <c:pt idx="39">
                  <c:v>-9.5111939603062581</c:v>
                </c:pt>
                <c:pt idx="40">
                  <c:v>-8.5111939603062581</c:v>
                </c:pt>
                <c:pt idx="41">
                  <c:v>-7.5111939603062581</c:v>
                </c:pt>
                <c:pt idx="42">
                  <c:v>-6.5111939603062581</c:v>
                </c:pt>
                <c:pt idx="43">
                  <c:v>-5.5111939603062581</c:v>
                </c:pt>
                <c:pt idx="44">
                  <c:v>-4.5111939603062581</c:v>
                </c:pt>
                <c:pt idx="45">
                  <c:v>-3.5111939603062581</c:v>
                </c:pt>
                <c:pt idx="46">
                  <c:v>-2.5111939603062581</c:v>
                </c:pt>
                <c:pt idx="47">
                  <c:v>-1.5111939603062581</c:v>
                </c:pt>
                <c:pt idx="48">
                  <c:v>-0.51119396030625808</c:v>
                </c:pt>
                <c:pt idx="49">
                  <c:v>0.48880603969374192</c:v>
                </c:pt>
                <c:pt idx="50">
                  <c:v>1.4888060396937419</c:v>
                </c:pt>
                <c:pt idx="51">
                  <c:v>2.4888060396937419</c:v>
                </c:pt>
                <c:pt idx="52">
                  <c:v>3.4888060396937419</c:v>
                </c:pt>
                <c:pt idx="53">
                  <c:v>4.4888060396937419</c:v>
                </c:pt>
                <c:pt idx="54">
                  <c:v>5.4888060396937419</c:v>
                </c:pt>
                <c:pt idx="55">
                  <c:v>6.4888060396937419</c:v>
                </c:pt>
                <c:pt idx="56">
                  <c:v>7.4888060396937419</c:v>
                </c:pt>
                <c:pt idx="57">
                  <c:v>8.4888060396937419</c:v>
                </c:pt>
                <c:pt idx="58">
                  <c:v>9.4888060396937419</c:v>
                </c:pt>
                <c:pt idx="59">
                  <c:v>10.488806039693742</c:v>
                </c:pt>
                <c:pt idx="60">
                  <c:v>11.488806039693742</c:v>
                </c:pt>
                <c:pt idx="61">
                  <c:v>12.488806039693742</c:v>
                </c:pt>
                <c:pt idx="62">
                  <c:v>13.488806039693742</c:v>
                </c:pt>
                <c:pt idx="63">
                  <c:v>14.488806039693742</c:v>
                </c:pt>
                <c:pt idx="64">
                  <c:v>15.488806039693742</c:v>
                </c:pt>
                <c:pt idx="65">
                  <c:v>16.488806039693742</c:v>
                </c:pt>
                <c:pt idx="66">
                  <c:v>17.488806039693742</c:v>
                </c:pt>
                <c:pt idx="67">
                  <c:v>18.488806039693742</c:v>
                </c:pt>
                <c:pt idx="68">
                  <c:v>19.488806039693742</c:v>
                </c:pt>
                <c:pt idx="69">
                  <c:v>20.488806039693742</c:v>
                </c:pt>
                <c:pt idx="70">
                  <c:v>21.488806039693742</c:v>
                </c:pt>
                <c:pt idx="71">
                  <c:v>22.488806039693742</c:v>
                </c:pt>
                <c:pt idx="72">
                  <c:v>23.488806039693742</c:v>
                </c:pt>
                <c:pt idx="73">
                  <c:v>24.488806039693742</c:v>
                </c:pt>
                <c:pt idx="74">
                  <c:v>25.488806039693742</c:v>
                </c:pt>
                <c:pt idx="75">
                  <c:v>26.488806039693742</c:v>
                </c:pt>
                <c:pt idx="76">
                  <c:v>27.488806039693742</c:v>
                </c:pt>
                <c:pt idx="77">
                  <c:v>28.488806039693742</c:v>
                </c:pt>
                <c:pt idx="78">
                  <c:v>29.488806039693742</c:v>
                </c:pt>
                <c:pt idx="79">
                  <c:v>30.488806039693742</c:v>
                </c:pt>
                <c:pt idx="80">
                  <c:v>31.488806039693742</c:v>
                </c:pt>
                <c:pt idx="81">
                  <c:v>32.488806039693742</c:v>
                </c:pt>
                <c:pt idx="82">
                  <c:v>33.488806039693742</c:v>
                </c:pt>
                <c:pt idx="83">
                  <c:v>34.488806039693742</c:v>
                </c:pt>
                <c:pt idx="84">
                  <c:v>35.488806039693742</c:v>
                </c:pt>
                <c:pt idx="85">
                  <c:v>36.488806039693742</c:v>
                </c:pt>
                <c:pt idx="86">
                  <c:v>37.488806039693742</c:v>
                </c:pt>
                <c:pt idx="87">
                  <c:v>38.488806039693742</c:v>
                </c:pt>
                <c:pt idx="88">
                  <c:v>39.488806039693742</c:v>
                </c:pt>
                <c:pt idx="89">
                  <c:v>40.488806039693742</c:v>
                </c:pt>
                <c:pt idx="90">
                  <c:v>41.488806039693742</c:v>
                </c:pt>
                <c:pt idx="91">
                  <c:v>42.488806039693742</c:v>
                </c:pt>
                <c:pt idx="92">
                  <c:v>43.488806039693742</c:v>
                </c:pt>
                <c:pt idx="93">
                  <c:v>44.488806039693742</c:v>
                </c:pt>
                <c:pt idx="94">
                  <c:v>45.488806039693742</c:v>
                </c:pt>
                <c:pt idx="95">
                  <c:v>46.488806039693742</c:v>
                </c:pt>
                <c:pt idx="96">
                  <c:v>47.488806039693742</c:v>
                </c:pt>
                <c:pt idx="97">
                  <c:v>48.488806039693742</c:v>
                </c:pt>
                <c:pt idx="98">
                  <c:v>49.488806039693742</c:v>
                </c:pt>
                <c:pt idx="99">
                  <c:v>50.488806039693742</c:v>
                </c:pt>
                <c:pt idx="100">
                  <c:v>51.488806039693742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B0-4FCB-9D97-2DA0444E2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31056"/>
        <c:axId val="1837338736"/>
      </c:scatterChart>
      <c:valAx>
        <c:axId val="1837331056"/>
        <c:scaling>
          <c:orientation val="minMax"/>
          <c:max val="1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338736"/>
        <c:crosses val="autoZero"/>
        <c:crossBetween val="midCat"/>
      </c:valAx>
      <c:valAx>
        <c:axId val="1837338736"/>
        <c:scaling>
          <c:orientation val="minMax"/>
          <c:max val="5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33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Grecques!$B$8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Grecques!$A$9:$A$109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Grecques!$B$9:$B$109</c:f>
              <c:numCache>
                <c:formatCode>General</c:formatCode>
                <c:ptCount val="101"/>
                <c:pt idx="0">
                  <c:v>1.2553851033468468E-3</c:v>
                </c:pt>
                <c:pt idx="1">
                  <c:v>1.8535705625750661E-3</c:v>
                </c:pt>
                <c:pt idx="2">
                  <c:v>2.6931696202970143E-3</c:v>
                </c:pt>
                <c:pt idx="3">
                  <c:v>3.8538257030165902E-3</c:v>
                </c:pt>
                <c:pt idx="4">
                  <c:v>5.4352949896783456E-3</c:v>
                </c:pt>
                <c:pt idx="5">
                  <c:v>7.5607544480032589E-3</c:v>
                </c:pt>
                <c:pt idx="6">
                  <c:v>1.0380239676726712E-2</c:v>
                </c:pt>
                <c:pt idx="7">
                  <c:v>1.4074131461206753E-2</c:v>
                </c:pt>
                <c:pt idx="8">
                  <c:v>1.8856598251942389E-2</c:v>
                </c:pt>
                <c:pt idx="9">
                  <c:v>2.4978893073787874E-2</c:v>
                </c:pt>
                <c:pt idx="10">
                  <c:v>3.2732398262000098E-2</c:v>
                </c:pt>
                <c:pt idx="11">
                  <c:v>4.2451310304189228E-2</c:v>
                </c:pt>
                <c:pt idx="12">
                  <c:v>5.4514860136629532E-2</c:v>
                </c:pt>
                <c:pt idx="13">
                  <c:v>6.9348971469880311E-2</c:v>
                </c:pt>
                <c:pt idx="14">
                  <c:v>8.7427270859128672E-2</c:v>
                </c:pt>
                <c:pt idx="15">
                  <c:v>0.10927137785249373</c:v>
                </c:pt>
                <c:pt idx="16">
                  <c:v>0.13545042104722396</c:v>
                </c:pt>
                <c:pt idx="17">
                  <c:v>0.16657974553832375</c:v>
                </c:pt>
                <c:pt idx="18">
                  <c:v>0.20331879825768173</c:v>
                </c:pt>
                <c:pt idx="19">
                  <c:v>0.24636819924173428</c:v>
                </c:pt>
                <c:pt idx="20">
                  <c:v>0.29646602811105754</c:v>
                </c:pt>
                <c:pt idx="21">
                  <c:v>0.35438337522443664</c:v>
                </c:pt>
                <c:pt idx="22">
                  <c:v>0.42091922539524856</c:v>
                </c:pt>
                <c:pt idx="23">
                  <c:v>0.49689475815066891</c:v>
                </c:pt>
                <c:pt idx="24">
                  <c:v>0.58314716182285142</c:v>
                </c:pt>
                <c:pt idx="25">
                  <c:v>0.68052306897048198</c:v>
                </c:pt>
                <c:pt idx="26">
                  <c:v>0.78987172756323809</c:v>
                </c:pt>
                <c:pt idx="27">
                  <c:v>0.91203802597694295</c:v>
                </c:pt>
                <c:pt idx="28">
                  <c:v>1.0478554902252961</c:v>
                </c:pt>
                <c:pt idx="29">
                  <c:v>1.1981393691822406</c:v>
                </c:pt>
                <c:pt idx="30">
                  <c:v>1.3636799181063297</c:v>
                </c:pt>
                <c:pt idx="31">
                  <c:v>1.5452359829136488</c:v>
                </c:pt>
                <c:pt idx="32">
                  <c:v>1.7435289777558851</c:v>
                </c:pt>
                <c:pt idx="33">
                  <c:v>1.959237336973513</c:v>
                </c:pt>
                <c:pt idx="34">
                  <c:v>2.1929915098482757</c:v>
                </c:pt>
                <c:pt idx="35">
                  <c:v>2.4453695532062887</c:v>
                </c:pt>
                <c:pt idx="36">
                  <c:v>2.7168933632349375</c:v>
                </c:pt>
                <c:pt idx="37">
                  <c:v>3.0080255742520707</c:v>
                </c:pt>
                <c:pt idx="38">
                  <c:v>3.3191671389440596</c:v>
                </c:pt>
                <c:pt idx="39">
                  <c:v>3.6506555920596484</c:v>
                </c:pt>
                <c:pt idx="40">
                  <c:v>4.0027639879510177</c:v>
                </c:pt>
                <c:pt idx="41">
                  <c:v>4.3757004918781854</c:v>
                </c:pt>
                <c:pt idx="42">
                  <c:v>4.7696085957763703</c:v>
                </c:pt>
                <c:pt idx="43">
                  <c:v>5.1845679213136506</c:v>
                </c:pt>
                <c:pt idx="44">
                  <c:v>5.6205955665821694</c:v>
                </c:pt>
                <c:pt idx="45">
                  <c:v>6.0776479476704202</c:v>
                </c:pt>
                <c:pt idx="46">
                  <c:v>6.5556230826238941</c:v>
                </c:pt>
                <c:pt idx="47">
                  <c:v>7.0543632628526751</c:v>
                </c:pt>
                <c:pt idx="48">
                  <c:v>7.573658055800176</c:v>
                </c:pt>
                <c:pt idx="49">
                  <c:v>8.113247582541895</c:v>
                </c:pt>
                <c:pt idx="50">
                  <c:v>8.6728260148180123</c:v>
                </c:pt>
                <c:pt idx="51">
                  <c:v>9.2520452376923945</c:v>
                </c:pt>
                <c:pt idx="52">
                  <c:v>9.8505186264439448</c:v>
                </c:pt>
                <c:pt idx="53">
                  <c:v>10.467824889303939</c:v>
                </c:pt>
                <c:pt idx="54">
                  <c:v>11.103511931128228</c:v>
                </c:pt>
                <c:pt idx="55">
                  <c:v>11.757100696918911</c:v>
                </c:pt>
                <c:pt idx="56">
                  <c:v>12.428088958169795</c:v>
                </c:pt>
                <c:pt idx="57">
                  <c:v>13.115955009207074</c:v>
                </c:pt>
                <c:pt idx="58">
                  <c:v>13.82016124493525</c:v>
                </c:pt>
                <c:pt idx="59">
                  <c:v>14.540157595601688</c:v>
                </c:pt>
                <c:pt idx="60">
                  <c:v>15.275384798290871</c:v>
                </c:pt>
                <c:pt idx="61">
                  <c:v>16.025277488795165</c:v>
                </c:pt>
                <c:pt idx="62">
                  <c:v>16.789267101236746</c:v>
                </c:pt>
                <c:pt idx="63">
                  <c:v>17.566784566298537</c:v>
                </c:pt>
                <c:pt idx="64">
                  <c:v>18.357262802134787</c:v>
                </c:pt>
                <c:pt idx="65">
                  <c:v>19.160138994957151</c:v>
                </c:pt>
                <c:pt idx="66">
                  <c:v>19.97485666891896</c:v>
                </c:pt>
                <c:pt idx="67">
                  <c:v>20.800867547246614</c:v>
                </c:pt>
                <c:pt idx="68">
                  <c:v>21.637633208594924</c:v>
                </c:pt>
                <c:pt idx="69">
                  <c:v>22.484626544340756</c:v>
                </c:pt>
                <c:pt idx="70">
                  <c:v>23.341333023988231</c:v>
                </c:pt>
                <c:pt idx="71">
                  <c:v>24.207251777052988</c:v>
                </c:pt>
                <c:pt idx="72">
                  <c:v>25.081896500741223</c:v>
                </c:pt>
                <c:pt idx="73">
                  <c:v>25.964796203458938</c:v>
                </c:pt>
                <c:pt idx="74">
                  <c:v>26.855495794697987</c:v>
                </c:pt>
                <c:pt idx="75">
                  <c:v>27.753556532170677</c:v>
                </c:pt>
                <c:pt idx="76">
                  <c:v>28.658556337220496</c:v>
                </c:pt>
                <c:pt idx="77">
                  <c:v>29.570089989547512</c:v>
                </c:pt>
                <c:pt idx="78">
                  <c:v>30.487769212169237</c:v>
                </c:pt>
                <c:pt idx="79">
                  <c:v>31.411222657312369</c:v>
                </c:pt>
                <c:pt idx="80">
                  <c:v>32.340095803613913</c:v>
                </c:pt>
                <c:pt idx="81">
                  <c:v>33.274050774619234</c:v>
                </c:pt>
                <c:pt idx="82">
                  <c:v>34.212766088113852</c:v>
                </c:pt>
                <c:pt idx="83">
                  <c:v>35.155936345330296</c:v>
                </c:pt>
                <c:pt idx="84">
                  <c:v>36.103271868541931</c:v>
                </c:pt>
                <c:pt idx="85">
                  <c:v>37.054498295004876</c:v>
                </c:pt>
                <c:pt idx="86">
                  <c:v>38.009356134646069</c:v>
                </c:pt>
                <c:pt idx="87">
                  <c:v>38.967600298328499</c:v>
                </c:pt>
                <c:pt idx="88">
                  <c:v>39.928999602961568</c:v>
                </c:pt>
                <c:pt idx="89">
                  <c:v>40.893336259170582</c:v>
                </c:pt>
                <c:pt idx="90">
                  <c:v>41.860405346701597</c:v>
                </c:pt>
                <c:pt idx="91">
                  <c:v>42.830014282217292</c:v>
                </c:pt>
                <c:pt idx="92">
                  <c:v>43.801982283642701</c:v>
                </c:pt>
                <c:pt idx="93">
                  <c:v>44.776139834747504</c:v>
                </c:pt>
                <c:pt idx="94">
                  <c:v>45.752328153204857</c:v>
                </c:pt>
                <c:pt idx="95">
                  <c:v>46.730398664949995</c:v>
                </c:pt>
                <c:pt idx="96">
                  <c:v>47.710212487270994</c:v>
                </c:pt>
                <c:pt idx="97">
                  <c:v>48.691639922704653</c:v>
                </c:pt>
                <c:pt idx="98">
                  <c:v>49.674559965477208</c:v>
                </c:pt>
                <c:pt idx="99">
                  <c:v>50.658859821926356</c:v>
                </c:pt>
                <c:pt idx="100">
                  <c:v>51.644434446063123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25-4017-B327-8E7F4FE1016B}"/>
            </c:ext>
          </c:extLst>
        </c:ser>
        <c:ser>
          <c:idx val="1"/>
          <c:order val="1"/>
          <c:tx>
            <c:strRef>
              <c:f>Grecques!$C$8</c:f>
              <c:strCache>
                <c:ptCount val="1"/>
                <c:pt idx="0">
                  <c:v>Forward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Grecques!$A$9:$A$109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Grecques!$C$9:$C$109</c:f>
              <c:numCache>
                <c:formatCode>General</c:formatCode>
                <c:ptCount val="101"/>
                <c:pt idx="0">
                  <c:v>-48.511193960306258</c:v>
                </c:pt>
                <c:pt idx="1">
                  <c:v>-47.511193960306258</c:v>
                </c:pt>
                <c:pt idx="2">
                  <c:v>-46.511193960306258</c:v>
                </c:pt>
                <c:pt idx="3">
                  <c:v>-45.511193960306258</c:v>
                </c:pt>
                <c:pt idx="4">
                  <c:v>-44.511193960306258</c:v>
                </c:pt>
                <c:pt idx="5">
                  <c:v>-43.511193960306258</c:v>
                </c:pt>
                <c:pt idx="6">
                  <c:v>-42.511193960306258</c:v>
                </c:pt>
                <c:pt idx="7">
                  <c:v>-41.511193960306258</c:v>
                </c:pt>
                <c:pt idx="8">
                  <c:v>-40.511193960306258</c:v>
                </c:pt>
                <c:pt idx="9">
                  <c:v>-39.511193960306258</c:v>
                </c:pt>
                <c:pt idx="10">
                  <c:v>-38.511193960306258</c:v>
                </c:pt>
                <c:pt idx="11">
                  <c:v>-37.511193960306258</c:v>
                </c:pt>
                <c:pt idx="12">
                  <c:v>-36.511193960306258</c:v>
                </c:pt>
                <c:pt idx="13">
                  <c:v>-35.511193960306258</c:v>
                </c:pt>
                <c:pt idx="14">
                  <c:v>-34.511193960306258</c:v>
                </c:pt>
                <c:pt idx="15">
                  <c:v>-33.511193960306258</c:v>
                </c:pt>
                <c:pt idx="16">
                  <c:v>-32.511193960306258</c:v>
                </c:pt>
                <c:pt idx="17">
                  <c:v>-31.511193960306258</c:v>
                </c:pt>
                <c:pt idx="18">
                  <c:v>-30.511193960306258</c:v>
                </c:pt>
                <c:pt idx="19">
                  <c:v>-29.511193960306258</c:v>
                </c:pt>
                <c:pt idx="20">
                  <c:v>-28.511193960306258</c:v>
                </c:pt>
                <c:pt idx="21">
                  <c:v>-27.511193960306258</c:v>
                </c:pt>
                <c:pt idx="22">
                  <c:v>-26.511193960306258</c:v>
                </c:pt>
                <c:pt idx="23">
                  <c:v>-25.511193960306258</c:v>
                </c:pt>
                <c:pt idx="24">
                  <c:v>-24.511193960306258</c:v>
                </c:pt>
                <c:pt idx="25">
                  <c:v>-23.511193960306258</c:v>
                </c:pt>
                <c:pt idx="26">
                  <c:v>-22.511193960306258</c:v>
                </c:pt>
                <c:pt idx="27">
                  <c:v>-21.511193960306258</c:v>
                </c:pt>
                <c:pt idx="28">
                  <c:v>-20.511193960306258</c:v>
                </c:pt>
                <c:pt idx="29">
                  <c:v>-19.511193960306258</c:v>
                </c:pt>
                <c:pt idx="30">
                  <c:v>-18.511193960306258</c:v>
                </c:pt>
                <c:pt idx="31">
                  <c:v>-17.511193960306258</c:v>
                </c:pt>
                <c:pt idx="32">
                  <c:v>-16.511193960306258</c:v>
                </c:pt>
                <c:pt idx="33">
                  <c:v>-15.511193960306258</c:v>
                </c:pt>
                <c:pt idx="34">
                  <c:v>-14.511193960306258</c:v>
                </c:pt>
                <c:pt idx="35">
                  <c:v>-13.511193960306258</c:v>
                </c:pt>
                <c:pt idx="36">
                  <c:v>-12.511193960306258</c:v>
                </c:pt>
                <c:pt idx="37">
                  <c:v>-11.511193960306258</c:v>
                </c:pt>
                <c:pt idx="38">
                  <c:v>-10.511193960306258</c:v>
                </c:pt>
                <c:pt idx="39">
                  <c:v>-9.5111939603062581</c:v>
                </c:pt>
                <c:pt idx="40">
                  <c:v>-8.5111939603062581</c:v>
                </c:pt>
                <c:pt idx="41">
                  <c:v>-7.5111939603062581</c:v>
                </c:pt>
                <c:pt idx="42">
                  <c:v>-6.5111939603062581</c:v>
                </c:pt>
                <c:pt idx="43">
                  <c:v>-5.5111939603062581</c:v>
                </c:pt>
                <c:pt idx="44">
                  <c:v>-4.5111939603062581</c:v>
                </c:pt>
                <c:pt idx="45">
                  <c:v>-3.5111939603062581</c:v>
                </c:pt>
                <c:pt idx="46">
                  <c:v>-2.5111939603062581</c:v>
                </c:pt>
                <c:pt idx="47">
                  <c:v>-1.5111939603062581</c:v>
                </c:pt>
                <c:pt idx="48">
                  <c:v>-0.51119396030625808</c:v>
                </c:pt>
                <c:pt idx="49">
                  <c:v>0.48880603969374192</c:v>
                </c:pt>
                <c:pt idx="50">
                  <c:v>1.4888060396937419</c:v>
                </c:pt>
                <c:pt idx="51">
                  <c:v>2.4888060396937419</c:v>
                </c:pt>
                <c:pt idx="52">
                  <c:v>3.4888060396937419</c:v>
                </c:pt>
                <c:pt idx="53">
                  <c:v>4.4888060396937419</c:v>
                </c:pt>
                <c:pt idx="54">
                  <c:v>5.4888060396937419</c:v>
                </c:pt>
                <c:pt idx="55">
                  <c:v>6.4888060396937419</c:v>
                </c:pt>
                <c:pt idx="56">
                  <c:v>7.4888060396937419</c:v>
                </c:pt>
                <c:pt idx="57">
                  <c:v>8.4888060396937419</c:v>
                </c:pt>
                <c:pt idx="58">
                  <c:v>9.4888060396937419</c:v>
                </c:pt>
                <c:pt idx="59">
                  <c:v>10.488806039693742</c:v>
                </c:pt>
                <c:pt idx="60">
                  <c:v>11.488806039693742</c:v>
                </c:pt>
                <c:pt idx="61">
                  <c:v>12.488806039693742</c:v>
                </c:pt>
                <c:pt idx="62">
                  <c:v>13.488806039693742</c:v>
                </c:pt>
                <c:pt idx="63">
                  <c:v>14.488806039693742</c:v>
                </c:pt>
                <c:pt idx="64">
                  <c:v>15.488806039693742</c:v>
                </c:pt>
                <c:pt idx="65">
                  <c:v>16.488806039693742</c:v>
                </c:pt>
                <c:pt idx="66">
                  <c:v>17.488806039693742</c:v>
                </c:pt>
                <c:pt idx="67">
                  <c:v>18.488806039693742</c:v>
                </c:pt>
                <c:pt idx="68">
                  <c:v>19.488806039693742</c:v>
                </c:pt>
                <c:pt idx="69">
                  <c:v>20.488806039693742</c:v>
                </c:pt>
                <c:pt idx="70">
                  <c:v>21.488806039693742</c:v>
                </c:pt>
                <c:pt idx="71">
                  <c:v>22.488806039693742</c:v>
                </c:pt>
                <c:pt idx="72">
                  <c:v>23.488806039693742</c:v>
                </c:pt>
                <c:pt idx="73">
                  <c:v>24.488806039693742</c:v>
                </c:pt>
                <c:pt idx="74">
                  <c:v>25.488806039693742</c:v>
                </c:pt>
                <c:pt idx="75">
                  <c:v>26.488806039693742</c:v>
                </c:pt>
                <c:pt idx="76">
                  <c:v>27.488806039693742</c:v>
                </c:pt>
                <c:pt idx="77">
                  <c:v>28.488806039693742</c:v>
                </c:pt>
                <c:pt idx="78">
                  <c:v>29.488806039693742</c:v>
                </c:pt>
                <c:pt idx="79">
                  <c:v>30.488806039693742</c:v>
                </c:pt>
                <c:pt idx="80">
                  <c:v>31.488806039693742</c:v>
                </c:pt>
                <c:pt idx="81">
                  <c:v>32.488806039693742</c:v>
                </c:pt>
                <c:pt idx="82">
                  <c:v>33.488806039693742</c:v>
                </c:pt>
                <c:pt idx="83">
                  <c:v>34.488806039693742</c:v>
                </c:pt>
                <c:pt idx="84">
                  <c:v>35.488806039693742</c:v>
                </c:pt>
                <c:pt idx="85">
                  <c:v>36.488806039693742</c:v>
                </c:pt>
                <c:pt idx="86">
                  <c:v>37.488806039693742</c:v>
                </c:pt>
                <c:pt idx="87">
                  <c:v>38.488806039693742</c:v>
                </c:pt>
                <c:pt idx="88">
                  <c:v>39.488806039693742</c:v>
                </c:pt>
                <c:pt idx="89">
                  <c:v>40.488806039693742</c:v>
                </c:pt>
                <c:pt idx="90">
                  <c:v>41.488806039693742</c:v>
                </c:pt>
                <c:pt idx="91">
                  <c:v>42.488806039693742</c:v>
                </c:pt>
                <c:pt idx="92">
                  <c:v>43.488806039693742</c:v>
                </c:pt>
                <c:pt idx="93">
                  <c:v>44.488806039693742</c:v>
                </c:pt>
                <c:pt idx="94">
                  <c:v>45.488806039693742</c:v>
                </c:pt>
                <c:pt idx="95">
                  <c:v>46.488806039693742</c:v>
                </c:pt>
                <c:pt idx="96">
                  <c:v>47.488806039693742</c:v>
                </c:pt>
                <c:pt idx="97">
                  <c:v>48.488806039693742</c:v>
                </c:pt>
                <c:pt idx="98">
                  <c:v>49.488806039693742</c:v>
                </c:pt>
                <c:pt idx="99">
                  <c:v>50.488806039693742</c:v>
                </c:pt>
                <c:pt idx="100">
                  <c:v>51.488806039693742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25-4017-B327-8E7F4FE1016B}"/>
            </c:ext>
          </c:extLst>
        </c:ser>
        <c:ser>
          <c:idx val="2"/>
          <c:order val="2"/>
          <c:tx>
            <c:strRef>
              <c:f>Grecques!$E$8</c:f>
              <c:strCache>
                <c:ptCount val="1"/>
                <c:pt idx="0">
                  <c:v>Delta x50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Grecques!$A$9:$A$109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Grecques!$E$9:$E$109</c:f>
              <c:numCache>
                <c:formatCode>General</c:formatCode>
                <c:ptCount val="101"/>
                <c:pt idx="0">
                  <c:v>2.4981419533729149E-2</c:v>
                </c:pt>
                <c:pt idx="1">
                  <c:v>3.5356751506051824E-2</c:v>
                </c:pt>
                <c:pt idx="2">
                  <c:v>4.926425073890054E-2</c:v>
                </c:pt>
                <c:pt idx="3">
                  <c:v>6.7629894306019886E-2</c:v>
                </c:pt>
                <c:pt idx="4">
                  <c:v>9.1540634523725975E-2</c:v>
                </c:pt>
                <c:pt idx="5">
                  <c:v>0.12225269139540036</c:v>
                </c:pt>
                <c:pt idx="6">
                  <c:v>0.16119612380181875</c:v>
                </c:pt>
                <c:pt idx="7">
                  <c:v>0.20997503153837765</c:v>
                </c:pt>
                <c:pt idx="8">
                  <c:v>0.27036287255445141</c:v>
                </c:pt>
                <c:pt idx="9">
                  <c:v>0.34429254584716995</c:v>
                </c:pt>
                <c:pt idx="10">
                  <c:v>0.43384108178061154</c:v>
                </c:pt>
                <c:pt idx="11">
                  <c:v>0.54120898796098071</c:v>
                </c:pt>
                <c:pt idx="12">
                  <c:v>0.66869450922312601</c:v>
                </c:pt>
                <c:pt idx="13">
                  <c:v>0.81866326377967846</c:v>
                </c:pt>
                <c:pt idx="14">
                  <c:v>0.99351390386321436</c:v>
                </c:pt>
                <c:pt idx="15">
                  <c:v>1.1956406092920964</c:v>
                </c:pt>
                <c:pt idx="16">
                  <c:v>1.427393349152859</c:v>
                </c:pt>
                <c:pt idx="17">
                  <c:v>1.6910369351740637</c:v>
                </c:pt>
                <c:pt idx="18">
                  <c:v>1.9887099375893773</c:v>
                </c:pt>
                <c:pt idx="19">
                  <c:v>2.3223845398209502</c:v>
                </c:pt>
                <c:pt idx="20">
                  <c:v>2.6938283737243238</c:v>
                </c:pt>
                <c:pt idx="21">
                  <c:v>3.1045693058197577</c:v>
                </c:pt>
                <c:pt idx="22">
                  <c:v>3.5558640417748006</c:v>
                </c:pt>
                <c:pt idx="23">
                  <c:v>4.0486712873732955</c:v>
                </c:pt>
                <c:pt idx="24">
                  <c:v>4.5836300559647674</c:v>
                </c:pt>
                <c:pt idx="25">
                  <c:v>5.1610435518756814</c:v>
                </c:pt>
                <c:pt idx="26">
                  <c:v>5.7808688933406325</c:v>
                </c:pt>
                <c:pt idx="27">
                  <c:v>6.4427127736389966</c:v>
                </c:pt>
                <c:pt idx="28">
                  <c:v>7.1458330011122202</c:v>
                </c:pt>
                <c:pt idx="29">
                  <c:v>7.8891457125596514</c:v>
                </c:pt>
                <c:pt idx="30">
                  <c:v>8.6712379241755073</c:v>
                </c:pt>
                <c:pt idx="31">
                  <c:v>9.4903849726861917</c:v>
                </c:pt>
                <c:pt idx="32">
                  <c:v>10.344572308640878</c:v>
                </c:pt>
                <c:pt idx="33">
                  <c:v>11.231521034889996</c:v>
                </c:pt>
                <c:pt idx="34">
                  <c:v>12.14871653625055</c:v>
                </c:pt>
                <c:pt idx="35">
                  <c:v>13.093439520519311</c:v>
                </c:pt>
                <c:pt idx="36">
                  <c:v>14.062798785013598</c:v>
                </c:pt>
                <c:pt idx="37">
                  <c:v>15.053765034841401</c:v>
                </c:pt>
                <c:pt idx="38">
                  <c:v>16.063205106896149</c:v>
                </c:pt>
                <c:pt idx="39">
                  <c:v>17.087915994662545</c:v>
                </c:pt>
                <c:pt idx="40">
                  <c:v>18.124658120715569</c:v>
                </c:pt>
                <c:pt idx="41">
                  <c:v>19.170187363688747</c:v>
                </c:pt>
                <c:pt idx="42">
                  <c:v>20.221285411956906</c:v>
                </c:pt>
                <c:pt idx="43">
                  <c:v>21.274788084953798</c:v>
                </c:pt>
                <c:pt idx="44">
                  <c:v>22.327611332770147</c:v>
                </c:pt>
                <c:pt idx="45">
                  <c:v>23.376774693550288</c:v>
                </c:pt>
                <c:pt idx="46">
                  <c:v>24.419422054598687</c:v>
                </c:pt>
                <c:pt idx="47">
                  <c:v>25.452839625685154</c:v>
                </c:pt>
                <c:pt idx="48">
                  <c:v>26.474471090746277</c:v>
                </c:pt>
                <c:pt idx="49">
                  <c:v>27.481929956248152</c:v>
                </c:pt>
                <c:pt idx="50">
                  <c:v>28.473009160383683</c:v>
                </c:pt>
                <c:pt idx="51">
                  <c:v>29.445688046743747</c:v>
                </c:pt>
                <c:pt idx="52">
                  <c:v>30.398136839050139</c:v>
                </c:pt>
                <c:pt idx="53">
                  <c:v>31.328718780068719</c:v>
                </c:pt>
                <c:pt idx="54">
                  <c:v>32.235990118181277</c:v>
                </c:pt>
                <c:pt idx="55">
                  <c:v>33.118698139649148</c:v>
                </c:pt>
                <c:pt idx="56">
                  <c:v>33.975777453801811</c:v>
                </c:pt>
                <c:pt idx="57">
                  <c:v>34.806344742746951</c:v>
                </c:pt>
                <c:pt idx="58">
                  <c:v>35.609692187276835</c:v>
                </c:pt>
                <c:pt idx="59">
                  <c:v>36.385279777014453</c:v>
                </c:pt>
                <c:pt idx="60">
                  <c:v>37.132726706072347</c:v>
                </c:pt>
                <c:pt idx="61">
                  <c:v>37.85180204614862</c:v>
                </c:pt>
                <c:pt idx="62">
                  <c:v>38.542414877590367</c:v>
                </c:pt>
                <c:pt idx="63">
                  <c:v>39.204604046014182</c:v>
                </c:pt>
                <c:pt idx="64">
                  <c:v>39.838527698042611</c:v>
                </c:pt>
                <c:pt idx="65">
                  <c:v>40.444452735007566</c:v>
                </c:pt>
                <c:pt idx="66">
                  <c:v>41.022744308449553</c:v>
                </c:pt>
                <c:pt idx="67">
                  <c:v>41.573855466220699</c:v>
                </c:pt>
                <c:pt idx="68">
                  <c:v>42.098317043247519</c:v>
                </c:pt>
                <c:pt idx="69">
                  <c:v>42.596727876747174</c:v>
                </c:pt>
                <c:pt idx="70">
                  <c:v>43.06974541209663</c:v>
                </c:pt>
                <c:pt idx="71">
                  <c:v>43.518076752764884</c:v>
                </c:pt>
                <c:pt idx="72">
                  <c:v>43.942470195835497</c:v>
                </c:pt>
                <c:pt idx="73">
                  <c:v>44.343707283737871</c:v>
                </c:pt>
                <c:pt idx="74">
                  <c:v>44.722595392910407</c:v>
                </c:pt>
                <c:pt idx="75">
                  <c:v>45.079960871251963</c:v>
                </c:pt>
                <c:pt idx="76">
                  <c:v>45.416642728372082</c:v>
                </c:pt>
                <c:pt idx="77">
                  <c:v>45.733486875802981</c:v>
                </c:pt>
                <c:pt idx="78">
                  <c:v>46.031340908447675</c:v>
                </c:pt>
                <c:pt idx="79">
                  <c:v>46.311049413561292</c:v>
                </c:pt>
                <c:pt idx="80">
                  <c:v>46.573449789438584</c:v>
                </c:pt>
                <c:pt idx="81">
                  <c:v>46.819368552647319</c:v>
                </c:pt>
                <c:pt idx="82">
                  <c:v>47.049618110038686</c:v>
                </c:pt>
                <c:pt idx="83">
                  <c:v>47.264993969813332</c:v>
                </c:pt>
                <c:pt idx="84">
                  <c:v>47.466272364557334</c:v>
                </c:pt>
                <c:pt idx="85">
                  <c:v>47.654208258319301</c:v>
                </c:pt>
                <c:pt idx="86">
                  <c:v>47.829533709412658</c:v>
                </c:pt>
                <c:pt idx="87">
                  <c:v>47.992956560634155</c:v>
                </c:pt>
                <c:pt idx="88">
                  <c:v>48.145159428932324</c:v>
                </c:pt>
                <c:pt idx="89">
                  <c:v>48.286798967183863</c:v>
                </c:pt>
                <c:pt idx="90">
                  <c:v>48.418505371591017</c:v>
                </c:pt>
                <c:pt idx="91">
                  <c:v>48.540882109253673</c:v>
                </c:pt>
                <c:pt idx="92">
                  <c:v>48.654505841654952</c:v>
                </c:pt>
                <c:pt idx="93">
                  <c:v>48.75992652109101</c:v>
                </c:pt>
                <c:pt idx="94">
                  <c:v>48.857667638442528</c:v>
                </c:pt>
                <c:pt idx="95">
                  <c:v>48.948226602098607</c:v>
                </c:pt>
                <c:pt idx="96">
                  <c:v>49.032075229277666</c:v>
                </c:pt>
                <c:pt idx="97">
                  <c:v>49.109660332425115</c:v>
                </c:pt>
                <c:pt idx="98">
                  <c:v>49.181404384784685</c:v>
                </c:pt>
                <c:pt idx="99">
                  <c:v>49.247706250625896</c:v>
                </c:pt>
                <c:pt idx="100">
                  <c:v>49.308941966951316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25-4017-B327-8E7F4FE1016B}"/>
            </c:ext>
          </c:extLst>
        </c:ser>
        <c:ser>
          <c:idx val="3"/>
          <c:order val="3"/>
          <c:tx>
            <c:strRef>
              <c:f>Grecques!$G$8</c:f>
              <c:strCache>
                <c:ptCount val="1"/>
                <c:pt idx="0">
                  <c:v>Gamma x2500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Grecques!$A$9:$A$109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Grecques!$G$9:$G$109</c:f>
              <c:numCache>
                <c:formatCode>General</c:formatCode>
                <c:ptCount val="101"/>
                <c:pt idx="0">
                  <c:v>0.44399874079799945</c:v>
                </c:pt>
                <c:pt idx="1">
                  <c:v>0.60000776282381851</c:v>
                </c:pt>
                <c:pt idx="2">
                  <c:v>0.79846905760958164</c:v>
                </c:pt>
                <c:pt idx="3">
                  <c:v>1.0471711749733981</c:v>
                </c:pt>
                <c:pt idx="4">
                  <c:v>1.3543982540966533</c:v>
                </c:pt>
                <c:pt idx="5">
                  <c:v>1.7287618694211693</c:v>
                </c:pt>
                <c:pt idx="6">
                  <c:v>2.1789978255125702</c:v>
                </c:pt>
                <c:pt idx="7">
                  <c:v>2.7137335522828265</c:v>
                </c:pt>
                <c:pt idx="8">
                  <c:v>3.3412336187524025</c:v>
                </c:pt>
                <c:pt idx="9">
                  <c:v>4.0691323859682811</c:v>
                </c:pt>
                <c:pt idx="10">
                  <c:v>4.9041638259909872</c:v>
                </c:pt>
                <c:pt idx="11">
                  <c:v>5.8518990218251608</c:v>
                </c:pt>
                <c:pt idx="12">
                  <c:v>6.9165017843684371</c:v>
                </c:pt>
                <c:pt idx="13">
                  <c:v>8.1005122146496351</c:v>
                </c:pt>
                <c:pt idx="14">
                  <c:v>9.4046669352372554</c:v>
                </c:pt>
                <c:pt idx="15">
                  <c:v>10.827763216505332</c:v>
                </c:pt>
                <c:pt idx="16">
                  <c:v>12.366572403957331</c:v>
                </c:pt>
                <c:pt idx="17">
                  <c:v>14.015806058982616</c:v>
                </c:pt>
                <c:pt idx="18">
                  <c:v>15.768136120419829</c:v>
                </c:pt>
                <c:pt idx="19">
                  <c:v>17.614268339564976</c:v>
                </c:pt>
                <c:pt idx="20">
                  <c:v>19.543066298241541</c:v>
                </c:pt>
                <c:pt idx="21">
                  <c:v>21.541721643113242</c:v>
                </c:pt>
                <c:pt idx="22">
                  <c:v>23.595964592643128</c:v>
                </c:pt>
                <c:pt idx="23">
                  <c:v>25.690307837653027</c:v>
                </c:pt>
                <c:pt idx="24">
                  <c:v>27.808315958971484</c:v>
                </c:pt>
                <c:pt idx="25">
                  <c:v>29.932892205500327</c:v>
                </c:pt>
                <c:pt idx="26">
                  <c:v>32.046574298741362</c:v>
                </c:pt>
                <c:pt idx="27">
                  <c:v>34.131831130185255</c:v>
                </c:pt>
                <c:pt idx="28">
                  <c:v>36.171352726238617</c:v>
                </c:pt>
                <c:pt idx="29">
                  <c:v>38.148326522019495</c:v>
                </c:pt>
                <c:pt idx="30">
                  <c:v>40.04669392418392</c:v>
                </c:pt>
                <c:pt idx="31">
                  <c:v>41.851382007879188</c:v>
                </c:pt>
                <c:pt idx="32">
                  <c:v>43.548506448165547</c:v>
                </c:pt>
                <c:pt idx="33">
                  <c:v>45.125542714324894</c:v>
                </c:pt>
                <c:pt idx="34">
                  <c:v>46.571463782618672</c:v>
                </c:pt>
                <c:pt idx="35">
                  <c:v>47.876843504990333</c:v>
                </c:pt>
                <c:pt idx="36">
                  <c:v>49.033925886288188</c:v>
                </c:pt>
                <c:pt idx="37">
                  <c:v>50.03666122271877</c:v>
                </c:pt>
                <c:pt idx="38">
                  <c:v>50.880710861234135</c:v>
                </c:pt>
                <c:pt idx="39">
                  <c:v>51.563422961975469</c:v>
                </c:pt>
                <c:pt idx="40">
                  <c:v>52.083782005329923</c:v>
                </c:pt>
                <c:pt idx="41">
                  <c:v>52.442335268798601</c:v>
                </c:pt>
                <c:pt idx="42">
                  <c:v>52.641099601569152</c:v>
                </c:pt>
                <c:pt idx="43">
                  <c:v>52.683451992607822</c:v>
                </c:pt>
                <c:pt idx="44">
                  <c:v>52.574007408656698</c:v>
                </c:pt>
                <c:pt idx="45">
                  <c:v>52.318487261948654</c:v>
                </c:pt>
                <c:pt idx="46">
                  <c:v>51.923581875779057</c:v>
                </c:pt>
                <c:pt idx="47">
                  <c:v>51.396809713777358</c:v>
                </c:pt>
                <c:pt idx="48">
                  <c:v>50.746376384358527</c:v>
                </c:pt>
                <c:pt idx="49">
                  <c:v>49.981035732393764</c:v>
                </c:pt>
                <c:pt idx="50">
                  <c:v>49.109955146953155</c:v>
                </c:pt>
                <c:pt idx="51">
                  <c:v>48.142586939192711</c:v>
                </c:pt>
                <c:pt idx="52">
                  <c:v>47.088547353024701</c:v>
                </c:pt>
                <c:pt idx="53">
                  <c:v>45.957504118954162</c:v>
                </c:pt>
                <c:pt idx="54">
                  <c:v>44.759073758449119</c:v>
                </c:pt>
                <c:pt idx="55">
                  <c:v>43.502728969135873</c:v>
                </c:pt>
                <c:pt idx="56">
                  <c:v>42.197716537684116</c:v>
                </c:pt>
                <c:pt idx="57">
                  <c:v>40.852985891404181</c:v>
                </c:pt>
                <c:pt idx="58">
                  <c:v>39.477128147002993</c:v>
                </c:pt>
                <c:pt idx="59">
                  <c:v>38.078325417800762</c:v>
                </c:pt>
                <c:pt idx="60">
                  <c:v>36.664309985279253</c:v>
                </c:pt>
                <c:pt idx="61">
                  <c:v>35.242332768747886</c:v>
                </c:pt>
                <c:pt idx="62">
                  <c:v>33.819140551893945</c:v>
                </c:pt>
                <c:pt idx="63">
                  <c:v>32.400961214040791</c:v>
                </c:pt>
                <c:pt idx="64">
                  <c:v>30.993496241693563</c:v>
                </c:pt>
                <c:pt idx="65">
                  <c:v>29.601919915300812</c:v>
                </c:pt>
                <c:pt idx="66">
                  <c:v>28.230884202562478</c:v>
                </c:pt>
                <c:pt idx="67">
                  <c:v>26.884528764314908</c:v>
                </c:pt>
                <c:pt idx="68">
                  <c:v>25.566495315265669</c:v>
                </c:pt>
                <c:pt idx="69">
                  <c:v>24.279945587402096</c:v>
                </c:pt>
                <c:pt idx="70">
                  <c:v>23.027582327084239</c:v>
                </c:pt>
                <c:pt idx="71">
                  <c:v>21.811672606952826</c:v>
                </c:pt>
                <c:pt idx="72">
                  <c:v>20.634072989134111</c:v>
                </c:pt>
                <c:pt idx="73">
                  <c:v>19.49625589026116</c:v>
                </c:pt>
                <c:pt idx="74">
                  <c:v>18.399336834673541</c:v>
                </c:pt>
                <c:pt idx="75">
                  <c:v>17.344102029581698</c:v>
                </c:pt>
                <c:pt idx="76">
                  <c:v>16.331035990191367</c:v>
                </c:pt>
                <c:pt idx="77">
                  <c:v>15.360348881721109</c:v>
                </c:pt>
                <c:pt idx="78">
                  <c:v>14.432003253572745</c:v>
                </c:pt>
                <c:pt idx="79">
                  <c:v>13.545740021325692</c:v>
                </c:pt>
                <c:pt idx="80">
                  <c:v>12.701103424550553</c:v>
                </c:pt>
                <c:pt idx="81">
                  <c:v>11.897464904930821</c:v>
                </c:pt>
                <c:pt idx="82">
                  <c:v>11.134045696525874</c:v>
                </c:pt>
                <c:pt idx="83">
                  <c:v>10.409938122624141</c:v>
                </c:pt>
                <c:pt idx="84">
                  <c:v>9.7241254881641481</c:v>
                </c:pt>
                <c:pt idx="85">
                  <c:v>9.0755005871523409</c:v>
                </c:pt>
                <c:pt idx="86">
                  <c:v>8.4628827751176416</c:v>
                </c:pt>
                <c:pt idx="87">
                  <c:v>7.8850336371338869</c:v>
                </c:pt>
                <c:pt idx="88">
                  <c:v>7.340671262512366</c:v>
                </c:pt>
                <c:pt idx="89">
                  <c:v>6.8284831927778455</c:v>
                </c:pt>
                <c:pt idx="90">
                  <c:v>6.3471380540303102</c:v>
                </c:pt>
                <c:pt idx="91">
                  <c:v>5.8952959458569154</c:v>
                </c:pt>
                <c:pt idx="92">
                  <c:v>5.4716176450808618</c:v>
                </c:pt>
                <c:pt idx="93">
                  <c:v>5.0747727103894746</c:v>
                </c:pt>
                <c:pt idx="94">
                  <c:v>4.7034465405770831</c:v>
                </c:pt>
                <c:pt idx="95">
                  <c:v>4.3563464252605044</c:v>
                </c:pt>
                <c:pt idx="96">
                  <c:v>4.0322067490494717</c:v>
                </c:pt>
                <c:pt idx="97">
                  <c:v>3.7297933130897576</c:v>
                </c:pt>
                <c:pt idx="98">
                  <c:v>3.4479069405124463</c:v>
                </c:pt>
                <c:pt idx="99">
                  <c:v>3.1853863380337799</c:v>
                </c:pt>
                <c:pt idx="100">
                  <c:v>2.9411104052190495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25-4017-B327-8E7F4FE1016B}"/>
            </c:ext>
          </c:extLst>
        </c:ser>
        <c:ser>
          <c:idx val="4"/>
          <c:order val="4"/>
          <c:tx>
            <c:strRef>
              <c:f>Grecques!$H$8</c:f>
              <c:strCache>
                <c:ptCount val="1"/>
                <c:pt idx="0">
                  <c:v>Véga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Grecques!$A$9:$A$109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Grecques!$H$9:$H$109</c:f>
              <c:numCache>
                <c:formatCode>General</c:formatCode>
                <c:ptCount val="101"/>
                <c:pt idx="0">
                  <c:v>8.9053745396549561E-2</c:v>
                </c:pt>
                <c:pt idx="1">
                  <c:v>0.12518610804523486</c:v>
                </c:pt>
                <c:pt idx="2">
                  <c:v>0.17316320621488418</c:v>
                </c:pt>
                <c:pt idx="3">
                  <c:v>0.23588235889446599</c:v>
                </c:pt>
                <c:pt idx="4">
                  <c:v>0.31666369350021556</c:v>
                </c:pt>
                <c:pt idx="5">
                  <c:v>0.41924338347021012</c:v>
                </c:pt>
                <c:pt idx="6">
                  <c:v>0.54775032102175047</c:v>
                </c:pt>
                <c:pt idx="7">
                  <c:v>0.70666491848904089</c:v>
                </c:pt>
                <c:pt idx="8">
                  <c:v>0.90075949479389428</c:v>
                </c:pt>
                <c:pt idx="9">
                  <c:v>1.1350205505048296</c:v>
                </c:pt>
                <c:pt idx="10">
                  <c:v>1.4145541151822094</c:v>
                </c:pt>
                <c:pt idx="11">
                  <c:v>1.7444762119092627</c:v>
                </c:pt>
                <c:pt idx="12">
                  <c:v>2.1297912739184217</c:v>
                </c:pt>
                <c:pt idx="13">
                  <c:v>2.5752620209085197</c:v>
                </c:pt>
                <c:pt idx="14">
                  <c:v>3.0852748210036252</c:v>
                </c:pt>
                <c:pt idx="15">
                  <c:v>3.6637048984965168</c:v>
                </c:pt>
                <c:pt idx="16">
                  <c:v>4.3137858844760624</c:v>
                </c:pt>
                <c:pt idx="17">
                  <c:v>5.037988142430061</c:v>
                </c:pt>
                <c:pt idx="18">
                  <c:v>5.837910040542571</c:v>
                </c:pt>
                <c:pt idx="19">
                  <c:v>6.7141859084382522</c:v>
                </c:pt>
                <c:pt idx="20">
                  <c:v>7.6664138325122089</c:v>
                </c:pt>
                <c:pt idx="21">
                  <c:v>8.6931057443678785</c:v>
                </c:pt>
                <c:pt idx="22">
                  <c:v>9.7916614798598811</c:v>
                </c:pt>
                <c:pt idx="23">
                  <c:v>10.958367668003065</c:v>
                </c:pt>
                <c:pt idx="24">
                  <c:v>12.188421488089629</c:v>
                </c:pt>
                <c:pt idx="25">
                  <c:v>13.475978544890133</c:v>
                </c:pt>
                <c:pt idx="26">
                  <c:v>14.814223384626013</c:v>
                </c:pt>
                <c:pt idx="27">
                  <c:v>16.19546053766685</c:v>
                </c:pt>
                <c:pt idx="28">
                  <c:v>17.611223439457646</c:v>
                </c:pt>
                <c:pt idx="29">
                  <c:v>19.052398170298357</c:v>
                </c:pt>
                <c:pt idx="30">
                  <c:v>20.509358666880306</c:v>
                </c:pt>
                <c:pt idx="31">
                  <c:v>21.972109897523406</c:v>
                </c:pt>
                <c:pt idx="32">
                  <c:v>23.430435453313248</c:v>
                </c:pt>
                <c:pt idx="33">
                  <c:v>24.874046083169787</c:v>
                </c:pt>
                <c:pt idx="34">
                  <c:v>26.292725868826139</c:v>
                </c:pt>
                <c:pt idx="35">
                  <c:v>27.676472999069723</c:v>
                </c:pt>
                <c:pt idx="36">
                  <c:v>29.015632425481996</c:v>
                </c:pt>
                <c:pt idx="37">
                  <c:v>30.301018061758</c:v>
                </c:pt>
                <c:pt idx="38">
                  <c:v>31.524022597211321</c:v>
                </c:pt>
                <c:pt idx="39">
                  <c:v>32.676713427033377</c:v>
                </c:pt>
                <c:pt idx="40">
                  <c:v>33.751913632800168</c:v>
                </c:pt>
                <c:pt idx="41">
                  <c:v>34.743267366206254</c:v>
                </c:pt>
                <c:pt idx="42">
                  <c:v>35.645289388916979</c:v>
                </c:pt>
                <c:pt idx="43">
                  <c:v>36.453398890810007</c:v>
                </c:pt>
                <c:pt idx="44">
                  <c:v>37.163938033204502</c:v>
                </c:pt>
                <c:pt idx="45">
                  <c:v>37.774175955194167</c:v>
                </c:pt>
                <c:pt idx="46">
                  <c:v>38.282299214644766</c:v>
                </c:pt>
                <c:pt idx="47">
                  <c:v>38.687389833658159</c:v>
                </c:pt>
                <c:pt idx="48">
                  <c:v>38.989392258335087</c:v>
                </c:pt>
                <c:pt idx="49">
                  <c:v>39.189070643015356</c:v>
                </c:pt>
                <c:pt idx="50">
                  <c:v>39.28795792955242</c:v>
                </c:pt>
                <c:pt idx="51">
                  <c:v>39.288298206319183</c:v>
                </c:pt>
                <c:pt idx="52">
                  <c:v>39.19298381827474</c:v>
                </c:pt>
                <c:pt idx="53">
                  <c:v>39.005488651362441</c:v>
                </c:pt>
                <c:pt idx="54">
                  <c:v>38.729798948313743</c:v>
                </c:pt>
                <c:pt idx="55">
                  <c:v>38.370342911093758</c:v>
                </c:pt>
                <c:pt idx="56">
                  <c:v>37.931920254195006</c:v>
                </c:pt>
                <c:pt idx="57">
                  <c:v>37.419632740167685</c:v>
                </c:pt>
                <c:pt idx="58">
                  <c:v>36.838816614110925</c:v>
                </c:pt>
                <c:pt idx="59">
                  <c:v>36.194977721173416</c:v>
                </c:pt>
                <c:pt idx="60">
                  <c:v>35.493729964279908</c:v>
                </c:pt>
                <c:pt idx="61">
                  <c:v>34.740737635914343</c:v>
                </c:pt>
                <c:pt idx="62">
                  <c:v>33.941662035594788</c:v>
                </c:pt>
                <c:pt idx="63">
                  <c:v>33.102112670100325</c:v>
                </c:pt>
                <c:pt idx="64">
                  <c:v>32.227603234318281</c:v>
                </c:pt>
                <c:pt idx="65">
                  <c:v>31.323512468759418</c:v>
                </c:pt>
                <c:pt idx="66">
                  <c:v>30.395049909017757</c:v>
                </c:pt>
                <c:pt idx="67">
                  <c:v>29.447226465144638</c:v>
                </c:pt>
                <c:pt idx="68">
                  <c:v>28.48482970389199</c:v>
                </c:pt>
                <c:pt idx="69">
                  <c:v>27.512403657041773</c:v>
                </c:pt>
                <c:pt idx="70">
                  <c:v>26.534232925534695</c:v>
                </c:pt>
                <c:pt idx="71">
                  <c:v>25.554330826871308</c:v>
                </c:pt>
                <c:pt idx="72">
                  <c:v>24.576431291869483</c:v>
                </c:pt>
                <c:pt idx="73">
                  <c:v>23.603984212989815</c:v>
                </c:pt>
                <c:pt idx="74">
                  <c:v>22.640153926012374</c:v>
                </c:pt>
                <c:pt idx="75">
                  <c:v>21.687820501981037</c:v>
                </c:pt>
                <c:pt idx="76">
                  <c:v>20.749583535035754</c:v>
                </c:pt>
                <c:pt idx="77">
                  <c:v>19.827768107738564</c:v>
                </c:pt>
                <c:pt idx="78">
                  <c:v>18.924432632196897</c:v>
                </c:pt>
                <c:pt idx="79">
                  <c:v>18.041378272179998</c:v>
                </c:pt>
                <c:pt idx="80">
                  <c:v>17.180159673912954</c:v>
                </c:pt>
                <c:pt idx="81">
                  <c:v>16.342096742008039</c:v>
                </c:pt>
                <c:pt idx="82">
                  <c:v>15.528287225379245</c:v>
                </c:pt>
                <c:pt idx="83">
                  <c:v>14.739619887222943</c:v>
                </c:pt>
                <c:pt idx="84">
                  <c:v>13.97678806384306</c:v>
                </c:pt>
                <c:pt idx="85">
                  <c:v>13.240303429711275</c:v>
                </c:pt>
                <c:pt idx="86">
                  <c:v>12.530509806012446</c:v>
                </c:pt>
                <c:pt idx="87">
                  <c:v>11.847596878951094</c:v>
                </c:pt>
                <c:pt idx="88">
                  <c:v>11.191613696936997</c:v>
                </c:pt>
                <c:pt idx="89">
                  <c:v>10.562481850371341</c:v>
                </c:pt>
                <c:pt idx="90">
                  <c:v>9.9600082412365509</c:v>
                </c:pt>
                <c:pt idx="91">
                  <c:v>9.3838973706539264</c:v>
                </c:pt>
                <c:pt idx="92">
                  <c:v>8.833763091615765</c:v>
                </c:pt>
                <c:pt idx="93">
                  <c:v>8.3091397754486707</c:v>
                </c:pt>
                <c:pt idx="94">
                  <c:v>7.8094928648653195</c:v>
                </c:pt>
                <c:pt idx="95">
                  <c:v>7.3342287890909574</c:v>
                </c:pt>
                <c:pt idx="96">
                  <c:v>6.8827042287722406</c:v>
                </c:pt>
                <c:pt idx="97">
                  <c:v>6.4542347270446498</c:v>
                </c:pt>
                <c:pt idx="98">
                  <c:v>6.0481026510217362</c:v>
                </c:pt>
                <c:pt idx="99">
                  <c:v>5.6635645088221054</c:v>
                </c:pt>
                <c:pt idx="100">
                  <c:v>5.2998576432372602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25-4017-B327-8E7F4FE1016B}"/>
            </c:ext>
          </c:extLst>
        </c:ser>
        <c:ser>
          <c:idx val="5"/>
          <c:order val="5"/>
          <c:tx>
            <c:strRef>
              <c:f>Grecques!$J$8</c:f>
              <c:strCache>
                <c:ptCount val="1"/>
                <c:pt idx="0">
                  <c:v>| Thêta x10 |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Grecques!$A$9:$A$109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xVal>
          <c:yVal>
            <c:numRef>
              <c:f>Grecques!$J$9:$J$109</c:f>
              <c:numCache>
                <c:formatCode>General</c:formatCode>
                <c:ptCount val="101"/>
                <c:pt idx="0">
                  <c:v>9.2331764183981035E-2</c:v>
                </c:pt>
                <c:pt idx="1">
                  <c:v>0.12994561314008407</c:v>
                </c:pt>
                <c:pt idx="2">
                  <c:v>0.17995986653562487</c:v>
                </c:pt>
                <c:pt idx="3">
                  <c:v>0.2454362937717898</c:v>
                </c:pt>
                <c:pt idx="4">
                  <c:v>0.32989391470080942</c:v>
                </c:pt>
                <c:pt idx="5">
                  <c:v>0.43730567816958887</c:v>
                </c:pt>
                <c:pt idx="6">
                  <c:v>0.57207808192259735</c:v>
                </c:pt>
                <c:pt idx="7">
                  <c:v>0.73901224141754984</c:v>
                </c:pt>
                <c:pt idx="8">
                  <c:v>0.94324568785247864</c:v>
                </c:pt>
                <c:pt idx="9">
                  <c:v>1.1901750397096817</c:v>
                </c:pt>
                <c:pt idx="10">
                  <c:v>1.4853606025280741</c:v>
                </c:pt>
                <c:pt idx="11">
                  <c:v>1.8344148463723953</c:v>
                </c:pt>
                <c:pt idx="12">
                  <c:v>2.2428775429156333</c:v>
                </c:pt>
                <c:pt idx="13">
                  <c:v>2.7160810645243672</c:v>
                </c:pt>
                <c:pt idx="14">
                  <c:v>3.2590099093565694</c:v>
                </c:pt>
                <c:pt idx="15">
                  <c:v>3.8761589032834665</c:v>
                </c:pt>
                <c:pt idx="16">
                  <c:v>4.5713947060460614</c:v>
                </c:pt>
                <c:pt idx="17">
                  <c:v>5.3478252242528113</c:v>
                </c:pt>
                <c:pt idx="18">
                  <c:v>6.2076813096945127</c:v>
                </c:pt>
                <c:pt idx="19">
                  <c:v>7.1522147043118212</c:v>
                </c:pt>
                <c:pt idx="20">
                  <c:v>8.1816156343839097</c:v>
                </c:pt>
                <c:pt idx="21">
                  <c:v>9.2949527570829193</c:v>
                </c:pt>
                <c:pt idx="22">
                  <c:v>10.490137385527065</c:v>
                </c:pt>
                <c:pt idx="23">
                  <c:v>11.763913089579692</c:v>
                </c:pt>
                <c:pt idx="24">
                  <c:v>13.111870933502079</c:v>
                </c:pt>
                <c:pt idx="25">
                  <c:v>14.528489780740728</c:v>
                </c:pt>
                <c:pt idx="26">
                  <c:v>16.007200377565756</c:v>
                </c:pt>
                <c:pt idx="27">
                  <c:v>17.540471201171748</c:v>
                </c:pt>
                <c:pt idx="28">
                  <c:v>19.119913539156208</c:v>
                </c:pt>
                <c:pt idx="29">
                  <c:v>20.736402793053443</c:v>
                </c:pt>
                <c:pt idx="30">
                  <c:v>22.380212657968634</c:v>
                </c:pt>
                <c:pt idx="31">
                  <c:v>24.041158692678088</c:v>
                </c:pt>
                <c:pt idx="32">
                  <c:v>25.70874763829778</c:v>
                </c:pt>
                <c:pt idx="33">
                  <c:v>27.372328974850646</c:v>
                </c:pt>
                <c:pt idx="34">
                  <c:v>29.021245283011865</c:v>
                </c:pt>
                <c:pt idx="35">
                  <c:v>30.644978253535626</c:v>
                </c:pt>
                <c:pt idx="36">
                  <c:v>32.233287510363695</c:v>
                </c:pt>
                <c:pt idx="37">
                  <c:v>33.776339703850411</c:v>
                </c:pt>
                <c:pt idx="38">
                  <c:v>35.264825862046933</c:v>
                </c:pt>
                <c:pt idx="39">
                  <c:v>36.69006528030927</c:v>
                </c:pt>
                <c:pt idx="40">
                  <c:v>38.044094765421477</c:v>
                </c:pt>
                <c:pt idx="41">
                  <c:v>39.319742422705417</c:v>
                </c:pt>
                <c:pt idx="42">
                  <c:v>40.510685592209938</c:v>
                </c:pt>
                <c:pt idx="43">
                  <c:v>41.611492937843053</c:v>
                </c:pt>
                <c:pt idx="44">
                  <c:v>42.617651007148538</c:v>
                </c:pt>
                <c:pt idx="45">
                  <c:v>43.525575902236824</c:v>
                </c:pt>
                <c:pt idx="46">
                  <c:v>44.332610931441252</c:v>
                </c:pt>
                <c:pt idx="47">
                  <c:v>45.037011364357227</c:v>
                </c:pt>
                <c:pt idx="48">
                  <c:v>45.637917510354953</c:v>
                </c:pt>
                <c:pt idx="49">
                  <c:v>46.135317499995665</c:v>
                </c:pt>
                <c:pt idx="50">
                  <c:v>46.530001234401652</c:v>
                </c:pt>
                <c:pt idx="51">
                  <c:v>46.823506921533919</c:v>
                </c:pt>
                <c:pt idx="52">
                  <c:v>47.018061712122972</c:v>
                </c:pt>
                <c:pt idx="53">
                  <c:v>47.116517860779084</c:v>
                </c:pt>
                <c:pt idx="54">
                  <c:v>47.122285742418057</c:v>
                </c:pt>
                <c:pt idx="55">
                  <c:v>47.039265077764014</c:v>
                </c:pt>
                <c:pt idx="56">
                  <c:v>46.871775502310697</c:v>
                </c:pt>
                <c:pt idx="57">
                  <c:v>46.624487575641638</c:v>
                </c:pt>
                <c:pt idx="58">
                  <c:v>46.302355196026213</c:v>
                </c:pt>
                <c:pt idx="59">
                  <c:v>45.910550222671986</c:v>
                </c:pt>
                <c:pt idx="60">
                  <c:v>45.454400049038668</c:v>
                </c:pt>
                <c:pt idx="61">
                  <c:v>44.93932867930539</c:v>
                </c:pt>
                <c:pt idx="62">
                  <c:v>44.370801755988509</c:v>
                </c:pt>
                <c:pt idx="63">
                  <c:v>43.754275946739085</c:v>
                </c:pt>
                <c:pt idx="64">
                  <c:v>43.095152857830499</c:v>
                </c:pt>
                <c:pt idx="65">
                  <c:v>42.398737644333551</c:v>
                </c:pt>
                <c:pt idx="66">
                  <c:v>41.6702024043758</c:v>
                </c:pt>
                <c:pt idx="67">
                  <c:v>40.914554280391258</c:v>
                </c:pt>
                <c:pt idx="68">
                  <c:v>40.136608222240966</c:v>
                </c:pt>
                <c:pt idx="69">
                  <c:v>39.340964222844832</c:v>
                </c:pt>
                <c:pt idx="70">
                  <c:v>38.531988869294764</c:v>
                </c:pt>
                <c:pt idx="71">
                  <c:v>37.713800965377686</c:v>
                </c:pt>
                <c:pt idx="72">
                  <c:v>36.890260921396134</c:v>
                </c:pt>
                <c:pt idx="73">
                  <c:v>36.064963712334475</c:v>
                </c:pt>
                <c:pt idx="74">
                  <c:v>35.241234995453397</c:v>
                </c:pt>
                <c:pt idx="75">
                  <c:v>34.422130195466139</c:v>
                </c:pt>
                <c:pt idx="76">
                  <c:v>33.610436136299882</c:v>
                </c:pt>
                <c:pt idx="77">
                  <c:v>32.808675014805999</c:v>
                </c:pt>
                <c:pt idx="78">
                  <c:v>32.019110336634071</c:v>
                </c:pt>
                <c:pt idx="79">
                  <c:v>31.243754581211647</c:v>
                </c:pt>
                <c:pt idx="80">
                  <c:v>30.484378297046533</c:v>
                </c:pt>
                <c:pt idx="81">
                  <c:v>29.742520365516611</c:v>
                </c:pt>
                <c:pt idx="82">
                  <c:v>29.019499216076383</c:v>
                </c:pt>
                <c:pt idx="83">
                  <c:v>28.316424731400502</c:v>
                </c:pt>
                <c:pt idx="84">
                  <c:v>27.634210690763439</c:v>
                </c:pt>
                <c:pt idx="85">
                  <c:v>26.973587499412588</c:v>
                </c:pt>
                <c:pt idx="86">
                  <c:v>26.33511512257769</c:v>
                </c:pt>
                <c:pt idx="87">
                  <c:v>25.719195990347998</c:v>
                </c:pt>
                <c:pt idx="88">
                  <c:v>25.126087835758426</c:v>
                </c:pt>
                <c:pt idx="89">
                  <c:v>24.555916240132092</c:v>
                </c:pt>
                <c:pt idx="90">
                  <c:v>24.008686942522672</c:v>
                </c:pt>
                <c:pt idx="91">
                  <c:v>23.484297685882893</c:v>
                </c:pt>
                <c:pt idx="92">
                  <c:v>22.982549631223037</c:v>
                </c:pt>
                <c:pt idx="93">
                  <c:v>22.503158266573564</c:v>
                </c:pt>
                <c:pt idx="94">
                  <c:v>22.045763736855406</c:v>
                </c:pt>
                <c:pt idx="95">
                  <c:v>21.60994063160615</c:v>
                </c:pt>
                <c:pt idx="96">
                  <c:v>21.195207151691875</c:v>
                </c:pt>
                <c:pt idx="97">
                  <c:v>20.801033674189284</c:v>
                </c:pt>
                <c:pt idx="98">
                  <c:v>20.426850713306521</c:v>
                </c:pt>
                <c:pt idx="99">
                  <c:v>20.072056283737538</c:v>
                </c:pt>
                <c:pt idx="100">
                  <c:v>19.736022645844287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225-4017-B327-8E7F4FE10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70816"/>
        <c:axId val="1308976576"/>
      </c:scatterChart>
      <c:valAx>
        <c:axId val="1308970816"/>
        <c:scaling>
          <c:orientation val="minMax"/>
          <c:max val="1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8976576"/>
        <c:crosses val="autoZero"/>
        <c:crossBetween val="midCat"/>
      </c:valAx>
      <c:valAx>
        <c:axId val="1308976576"/>
        <c:scaling>
          <c:orientation val="minMax"/>
          <c:max val="5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897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831A780-0E0E-4BBF-8140-21A5E967631A}">
  <sheetPr/>
  <sheetViews>
    <sheetView zoomScale="11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01D024-D6BB-49F1-8C8A-07E00B20C4CD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542585</xdr:colOff>
      <xdr:row>5</xdr:row>
      <xdr:rowOff>58851</xdr:rowOff>
    </xdr:from>
    <xdr:to>
      <xdr:col>8</xdr:col>
      <xdr:colOff>420120</xdr:colOff>
      <xdr:row>22</xdr:row>
      <xdr:rowOff>141855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B23250F-829C-E8BF-83A9-72C59F26E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D4CD325-163A-79A6-68FE-E488FBAD0C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377" cy="6070879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1970C68-8727-2719-DE95-D03E3E247A3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22A93-8661-4FF6-B933-209E4B2F7801}">
  <sheetPr codeName="Feuil1"/>
  <dimension ref="A1:B7"/>
  <sheetViews>
    <sheetView zoomScale="190" zoomScaleNormal="190" workbookViewId="0">
      <selection activeCell="B12" sqref="B12"/>
    </sheetView>
  </sheetViews>
  <sheetFormatPr baseColWidth="10" defaultRowHeight="12.45" x14ac:dyDescent="0.3"/>
  <sheetData>
    <row r="1" spans="1:2" x14ac:dyDescent="0.3">
      <c r="A1" s="1" t="s">
        <v>0</v>
      </c>
      <c r="B1">
        <v>0.25</v>
      </c>
    </row>
    <row r="2" spans="1:2" x14ac:dyDescent="0.3">
      <c r="A2" s="1" t="s">
        <v>1</v>
      </c>
      <c r="B2">
        <v>10</v>
      </c>
    </row>
    <row r="3" spans="1:2" x14ac:dyDescent="0.3">
      <c r="A3" s="1" t="s">
        <v>2</v>
      </c>
      <c r="B3">
        <v>10.19</v>
      </c>
    </row>
    <row r="4" spans="1:2" x14ac:dyDescent="0.3">
      <c r="A4" s="1" t="s">
        <v>3</v>
      </c>
      <c r="B4" s="2">
        <v>0.2</v>
      </c>
    </row>
    <row r="5" spans="1:2" x14ac:dyDescent="0.3">
      <c r="A5" s="1" t="s">
        <v>4</v>
      </c>
      <c r="B5" s="2">
        <v>0.03</v>
      </c>
    </row>
    <row r="7" spans="1:2" x14ac:dyDescent="0.3">
      <c r="A7" s="1" t="s">
        <v>5</v>
      </c>
      <c r="B7" cm="1">
        <f t="array" ref="B7">BScall(B1,B2,B3,B4,B5)</f>
        <v>0.54723615326408359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27F9-690E-480D-ACC0-8BC71245C57F}">
  <dimension ref="A1:E12"/>
  <sheetViews>
    <sheetView zoomScale="220" zoomScaleNormal="220" workbookViewId="0">
      <selection sqref="A1:B12"/>
    </sheetView>
  </sheetViews>
  <sheetFormatPr baseColWidth="10" defaultRowHeight="12.45" x14ac:dyDescent="0.3"/>
  <sheetData>
    <row r="1" spans="1:5" x14ac:dyDescent="0.3">
      <c r="A1" s="1" t="s">
        <v>0</v>
      </c>
      <c r="B1">
        <v>1</v>
      </c>
      <c r="D1" s="1" t="s">
        <v>11</v>
      </c>
      <c r="E1" cm="1">
        <f t="array" ref="E1">Bscall_delta(B1,B2,B3,B4,B5)</f>
        <v>0.56946018320767366</v>
      </c>
    </row>
    <row r="2" spans="1:5" x14ac:dyDescent="0.3">
      <c r="A2" s="1" t="s">
        <v>1</v>
      </c>
      <c r="B2">
        <v>100</v>
      </c>
      <c r="D2" s="1" t="s">
        <v>12</v>
      </c>
      <c r="E2" cm="1">
        <f t="array" ref="E2">Bsput_delta(B1,B2,B3,B4,B5)</f>
        <v>-0.43053981679232634</v>
      </c>
    </row>
    <row r="3" spans="1:5" x14ac:dyDescent="0.3">
      <c r="A3" s="1" t="s">
        <v>2</v>
      </c>
      <c r="B3">
        <v>100</v>
      </c>
      <c r="E3">
        <f>E1-E2</f>
        <v>1</v>
      </c>
    </row>
    <row r="4" spans="1:5" x14ac:dyDescent="0.3">
      <c r="A4" s="1" t="s">
        <v>3</v>
      </c>
      <c r="B4" s="2">
        <v>0.2</v>
      </c>
    </row>
    <row r="5" spans="1:5" x14ac:dyDescent="0.3">
      <c r="A5" s="1" t="s">
        <v>4</v>
      </c>
      <c r="B5" s="2">
        <v>1.4999999999999999E-2</v>
      </c>
    </row>
    <row r="6" spans="1:5" x14ac:dyDescent="0.3">
      <c r="A6" s="1"/>
      <c r="B6" s="2"/>
    </row>
    <row r="7" spans="1:5" x14ac:dyDescent="0.3">
      <c r="C7" s="5" t="s">
        <v>9</v>
      </c>
      <c r="D7" s="5" t="s">
        <v>10</v>
      </c>
    </row>
    <row r="8" spans="1:5" x14ac:dyDescent="0.3">
      <c r="A8" s="1" t="s">
        <v>5</v>
      </c>
      <c r="B8" cm="1">
        <f t="array" ref="B8">BScall(B1,B2,B3,B4,B5)</f>
        <v>8.6728260148180123</v>
      </c>
      <c r="C8" s="4">
        <v>8.6728260148180123</v>
      </c>
      <c r="D8" s="4">
        <f>B8-C8</f>
        <v>0</v>
      </c>
    </row>
    <row r="9" spans="1:5" x14ac:dyDescent="0.3">
      <c r="A9" s="1" t="s">
        <v>6</v>
      </c>
      <c r="B9" cm="1">
        <f t="array" ref="B9">BSput(B1,B2,B3,B4,B5)</f>
        <v>7.1840199751242766</v>
      </c>
      <c r="C9" s="4">
        <v>7.1840199751242766</v>
      </c>
      <c r="D9" s="4">
        <f t="shared" ref="D9" si="0">B9-C9</f>
        <v>0</v>
      </c>
    </row>
    <row r="11" spans="1:5" x14ac:dyDescent="0.3">
      <c r="A11" s="1" t="s">
        <v>7</v>
      </c>
      <c r="B11">
        <f>B8-B9</f>
        <v>1.4888060396937357</v>
      </c>
    </row>
    <row r="12" spans="1:5" x14ac:dyDescent="0.3">
      <c r="A12" s="1" t="s">
        <v>8</v>
      </c>
      <c r="B12">
        <f>B3-B2*EXP(-B5*B1)</f>
        <v>1.4888060396937419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CBF2-5752-4027-8B76-F1B19FF989FF}">
  <dimension ref="A1:F11"/>
  <sheetViews>
    <sheetView zoomScale="160" zoomScaleNormal="160" workbookViewId="0">
      <selection activeCell="B24" sqref="B24"/>
    </sheetView>
  </sheetViews>
  <sheetFormatPr baseColWidth="10" defaultRowHeight="12.45" x14ac:dyDescent="0.3"/>
  <sheetData>
    <row r="1" spans="1:6" x14ac:dyDescent="0.3">
      <c r="A1" s="1" t="s">
        <v>0</v>
      </c>
      <c r="B1">
        <v>1</v>
      </c>
      <c r="D1" s="5" t="s">
        <v>13</v>
      </c>
      <c r="E1" s="5" t="s">
        <v>14</v>
      </c>
      <c r="F1" s="5" t="s">
        <v>15</v>
      </c>
    </row>
    <row r="2" spans="1:6" x14ac:dyDescent="0.3">
      <c r="A2" s="1" t="s">
        <v>1</v>
      </c>
      <c r="B2">
        <v>110</v>
      </c>
      <c r="D2" s="4">
        <v>90</v>
      </c>
      <c r="E2" s="4">
        <v>15.96</v>
      </c>
      <c r="F2" s="6">
        <v>0.24540000000000001</v>
      </c>
    </row>
    <row r="3" spans="1:6" x14ac:dyDescent="0.3">
      <c r="A3" s="1" t="s">
        <v>2</v>
      </c>
      <c r="B3">
        <v>100</v>
      </c>
      <c r="D3" s="4">
        <v>100</v>
      </c>
      <c r="E3" s="4">
        <v>9.01</v>
      </c>
      <c r="F3" s="6">
        <v>0.20860000000000001</v>
      </c>
    </row>
    <row r="4" spans="1:6" x14ac:dyDescent="0.3">
      <c r="A4" s="1" t="s">
        <v>3</v>
      </c>
      <c r="B4" s="2">
        <v>0.19461069353750154</v>
      </c>
      <c r="D4" s="4">
        <v>110</v>
      </c>
      <c r="E4" s="4">
        <v>4.57</v>
      </c>
      <c r="F4" s="6">
        <v>0.1946</v>
      </c>
    </row>
    <row r="5" spans="1:6" x14ac:dyDescent="0.3">
      <c r="A5" s="1" t="s">
        <v>4</v>
      </c>
      <c r="B5" s="2">
        <v>1.4999999999999999E-2</v>
      </c>
    </row>
    <row r="7" spans="1:6" x14ac:dyDescent="0.3">
      <c r="A7" s="1" t="s">
        <v>5</v>
      </c>
      <c r="B7" cm="1">
        <f t="array" ref="B7">BScall(B1,B2,B3,B4,B5)</f>
        <v>4.5700104216790978</v>
      </c>
    </row>
    <row r="8" spans="1:6" x14ac:dyDescent="0.3">
      <c r="A8" s="1"/>
    </row>
    <row r="10" spans="1:6" x14ac:dyDescent="0.3">
      <c r="A10" s="1"/>
    </row>
    <row r="11" spans="1:6" x14ac:dyDescent="0.3">
      <c r="A1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8D0D8-A4C7-42FC-A82A-7BFD40B3A920}">
  <dimension ref="A1:C109"/>
  <sheetViews>
    <sheetView zoomScale="130" zoomScaleNormal="130" workbookViewId="0">
      <selection activeCell="B5" sqref="B5"/>
    </sheetView>
  </sheetViews>
  <sheetFormatPr baseColWidth="10" defaultRowHeight="12.45" x14ac:dyDescent="0.3"/>
  <sheetData>
    <row r="1" spans="1:3" x14ac:dyDescent="0.3">
      <c r="A1" s="1" t="s">
        <v>0</v>
      </c>
      <c r="B1">
        <v>1</v>
      </c>
    </row>
    <row r="2" spans="1:3" x14ac:dyDescent="0.3">
      <c r="A2" s="1" t="s">
        <v>1</v>
      </c>
      <c r="B2">
        <v>100</v>
      </c>
    </row>
    <row r="3" spans="1:3" x14ac:dyDescent="0.3">
      <c r="A3" s="1" t="s">
        <v>2</v>
      </c>
      <c r="B3">
        <v>100</v>
      </c>
    </row>
    <row r="4" spans="1:3" x14ac:dyDescent="0.3">
      <c r="A4" s="1" t="s">
        <v>3</v>
      </c>
      <c r="B4" s="3">
        <v>0.2</v>
      </c>
    </row>
    <row r="5" spans="1:3" x14ac:dyDescent="0.3">
      <c r="A5" s="1" t="s">
        <v>4</v>
      </c>
      <c r="B5" s="2">
        <v>1.4999999999999999E-2</v>
      </c>
    </row>
    <row r="8" spans="1:3" x14ac:dyDescent="0.3">
      <c r="A8" s="7" t="s">
        <v>2</v>
      </c>
      <c r="B8" s="7" t="s">
        <v>16</v>
      </c>
      <c r="C8" s="7" t="s">
        <v>17</v>
      </c>
    </row>
    <row r="9" spans="1:3" x14ac:dyDescent="0.3">
      <c r="A9">
        <v>50</v>
      </c>
      <c r="B9" cm="1">
        <f t="array" ref="B9">BScall($B$1,$B$2,A9,$B$4,$B$5)</f>
        <v>1.2553851033468468E-3</v>
      </c>
      <c r="C9">
        <f>A9-$B$2*EXP(-$B$5*$B$1)</f>
        <v>-48.511193960306258</v>
      </c>
    </row>
    <row r="10" spans="1:3" x14ac:dyDescent="0.3">
      <c r="A10">
        <v>51</v>
      </c>
      <c r="B10" cm="1">
        <f t="array" ref="B10">BScall($B$1,$B$2,A10,$B$4,$B$5)</f>
        <v>1.8535705625750661E-3</v>
      </c>
      <c r="C10">
        <f t="shared" ref="C10:C73" si="0">A10-$B$2*EXP(-$B$5*$B$1)</f>
        <v>-47.511193960306258</v>
      </c>
    </row>
    <row r="11" spans="1:3" x14ac:dyDescent="0.3">
      <c r="A11">
        <v>52</v>
      </c>
      <c r="B11" cm="1">
        <f t="array" ref="B11">BScall($B$1,$B$2,A11,$B$4,$B$5)</f>
        <v>2.6931696202970143E-3</v>
      </c>
      <c r="C11">
        <f t="shared" si="0"/>
        <v>-46.511193960306258</v>
      </c>
    </row>
    <row r="12" spans="1:3" x14ac:dyDescent="0.3">
      <c r="A12">
        <v>53</v>
      </c>
      <c r="B12" cm="1">
        <f t="array" ref="B12">BScall($B$1,$B$2,A12,$B$4,$B$5)</f>
        <v>3.8538257030165902E-3</v>
      </c>
      <c r="C12">
        <f t="shared" si="0"/>
        <v>-45.511193960306258</v>
      </c>
    </row>
    <row r="13" spans="1:3" x14ac:dyDescent="0.3">
      <c r="A13">
        <v>54</v>
      </c>
      <c r="B13" cm="1">
        <f t="array" ref="B13">BScall($B$1,$B$2,A13,$B$4,$B$5)</f>
        <v>5.4352949896783456E-3</v>
      </c>
      <c r="C13">
        <f t="shared" si="0"/>
        <v>-44.511193960306258</v>
      </c>
    </row>
    <row r="14" spans="1:3" x14ac:dyDescent="0.3">
      <c r="A14">
        <v>55</v>
      </c>
      <c r="B14" cm="1">
        <f t="array" ref="B14">BScall($B$1,$B$2,A14,$B$4,$B$5)</f>
        <v>7.5607544480032589E-3</v>
      </c>
      <c r="C14">
        <f t="shared" si="0"/>
        <v>-43.511193960306258</v>
      </c>
    </row>
    <row r="15" spans="1:3" x14ac:dyDescent="0.3">
      <c r="A15">
        <v>56</v>
      </c>
      <c r="B15" cm="1">
        <f t="array" ref="B15">BScall($B$1,$B$2,A15,$B$4,$B$5)</f>
        <v>1.0380239676726712E-2</v>
      </c>
      <c r="C15">
        <f t="shared" si="0"/>
        <v>-42.511193960306258</v>
      </c>
    </row>
    <row r="16" spans="1:3" x14ac:dyDescent="0.3">
      <c r="A16">
        <v>57</v>
      </c>
      <c r="B16" cm="1">
        <f t="array" ref="B16">BScall($B$1,$B$2,A16,$B$4,$B$5)</f>
        <v>1.4074131461206753E-2</v>
      </c>
      <c r="C16">
        <f t="shared" si="0"/>
        <v>-41.511193960306258</v>
      </c>
    </row>
    <row r="17" spans="1:3" x14ac:dyDescent="0.3">
      <c r="A17">
        <v>58</v>
      </c>
      <c r="B17" cm="1">
        <f t="array" ref="B17">BScall($B$1,$B$2,A17,$B$4,$B$5)</f>
        <v>1.8856598251942389E-2</v>
      </c>
      <c r="C17">
        <f t="shared" si="0"/>
        <v>-40.511193960306258</v>
      </c>
    </row>
    <row r="18" spans="1:3" x14ac:dyDescent="0.3">
      <c r="A18">
        <v>59</v>
      </c>
      <c r="B18" cm="1">
        <f t="array" ref="B18">BScall($B$1,$B$2,A18,$B$4,$B$5)</f>
        <v>2.4978893073787874E-2</v>
      </c>
      <c r="C18">
        <f t="shared" si="0"/>
        <v>-39.511193960306258</v>
      </c>
    </row>
    <row r="19" spans="1:3" x14ac:dyDescent="0.3">
      <c r="A19">
        <v>60</v>
      </c>
      <c r="B19" cm="1">
        <f t="array" ref="B19">BScall($B$1,$B$2,A19,$B$4,$B$5)</f>
        <v>3.2732398262000098E-2</v>
      </c>
      <c r="C19">
        <f t="shared" si="0"/>
        <v>-38.511193960306258</v>
      </c>
    </row>
    <row r="20" spans="1:3" x14ac:dyDescent="0.3">
      <c r="A20">
        <v>61</v>
      </c>
      <c r="B20" cm="1">
        <f t="array" ref="B20">BScall($B$1,$B$2,A20,$B$4,$B$5)</f>
        <v>4.2451310304189228E-2</v>
      </c>
      <c r="C20">
        <f t="shared" si="0"/>
        <v>-37.511193960306258</v>
      </c>
    </row>
    <row r="21" spans="1:3" x14ac:dyDescent="0.3">
      <c r="A21">
        <v>62</v>
      </c>
      <c r="B21" cm="1">
        <f t="array" ref="B21">BScall($B$1,$B$2,A21,$B$4,$B$5)</f>
        <v>5.4514860136629532E-2</v>
      </c>
      <c r="C21">
        <f t="shared" si="0"/>
        <v>-36.511193960306258</v>
      </c>
    </row>
    <row r="22" spans="1:3" x14ac:dyDescent="0.3">
      <c r="A22">
        <v>63</v>
      </c>
      <c r="B22" cm="1">
        <f t="array" ref="B22">BScall($B$1,$B$2,A22,$B$4,$B$5)</f>
        <v>6.9348971469880311E-2</v>
      </c>
      <c r="C22">
        <f t="shared" si="0"/>
        <v>-35.511193960306258</v>
      </c>
    </row>
    <row r="23" spans="1:3" x14ac:dyDescent="0.3">
      <c r="A23">
        <v>64</v>
      </c>
      <c r="B23" cm="1">
        <f t="array" ref="B23">BScall($B$1,$B$2,A23,$B$4,$B$5)</f>
        <v>8.7427270859128672E-2</v>
      </c>
      <c r="C23">
        <f t="shared" si="0"/>
        <v>-34.511193960306258</v>
      </c>
    </row>
    <row r="24" spans="1:3" x14ac:dyDescent="0.3">
      <c r="A24">
        <v>65</v>
      </c>
      <c r="B24" cm="1">
        <f t="array" ref="B24">BScall($B$1,$B$2,A24,$B$4,$B$5)</f>
        <v>0.10927137785249373</v>
      </c>
      <c r="C24">
        <f t="shared" si="0"/>
        <v>-33.511193960306258</v>
      </c>
    </row>
    <row r="25" spans="1:3" x14ac:dyDescent="0.3">
      <c r="A25">
        <v>66</v>
      </c>
      <c r="B25" cm="1">
        <f t="array" ref="B25">BScall($B$1,$B$2,A25,$B$4,$B$5)</f>
        <v>0.13545042104722396</v>
      </c>
      <c r="C25">
        <f t="shared" si="0"/>
        <v>-32.511193960306258</v>
      </c>
    </row>
    <row r="26" spans="1:3" x14ac:dyDescent="0.3">
      <c r="A26">
        <v>67</v>
      </c>
      <c r="B26" cm="1">
        <f t="array" ref="B26">BScall($B$1,$B$2,A26,$B$4,$B$5)</f>
        <v>0.16657974553832375</v>
      </c>
      <c r="C26">
        <f t="shared" si="0"/>
        <v>-31.511193960306258</v>
      </c>
    </row>
    <row r="27" spans="1:3" x14ac:dyDescent="0.3">
      <c r="A27">
        <v>68</v>
      </c>
      <c r="B27" cm="1">
        <f t="array" ref="B27">BScall($B$1,$B$2,A27,$B$4,$B$5)</f>
        <v>0.20331879825768173</v>
      </c>
      <c r="C27">
        <f t="shared" si="0"/>
        <v>-30.511193960306258</v>
      </c>
    </row>
    <row r="28" spans="1:3" x14ac:dyDescent="0.3">
      <c r="A28">
        <v>69</v>
      </c>
      <c r="B28" cm="1">
        <f t="array" ref="B28">BScall($B$1,$B$2,A28,$B$4,$B$5)</f>
        <v>0.24636819924173428</v>
      </c>
      <c r="C28">
        <f t="shared" si="0"/>
        <v>-29.511193960306258</v>
      </c>
    </row>
    <row r="29" spans="1:3" x14ac:dyDescent="0.3">
      <c r="A29">
        <v>70</v>
      </c>
      <c r="B29" cm="1">
        <f t="array" ref="B29">BScall($B$1,$B$2,A29,$B$4,$B$5)</f>
        <v>0.29646602811105754</v>
      </c>
      <c r="C29">
        <f t="shared" si="0"/>
        <v>-28.511193960306258</v>
      </c>
    </row>
    <row r="30" spans="1:3" x14ac:dyDescent="0.3">
      <c r="A30">
        <v>71</v>
      </c>
      <c r="B30" cm="1">
        <f t="array" ref="B30">BScall($B$1,$B$2,A30,$B$4,$B$5)</f>
        <v>0.35438337522443664</v>
      </c>
      <c r="C30">
        <f t="shared" si="0"/>
        <v>-27.511193960306258</v>
      </c>
    </row>
    <row r="31" spans="1:3" x14ac:dyDescent="0.3">
      <c r="A31">
        <v>72</v>
      </c>
      <c r="B31" cm="1">
        <f t="array" ref="B31">BScall($B$1,$B$2,A31,$B$4,$B$5)</f>
        <v>0.42091922539524856</v>
      </c>
      <c r="C31">
        <f t="shared" si="0"/>
        <v>-26.511193960306258</v>
      </c>
    </row>
    <row r="32" spans="1:3" x14ac:dyDescent="0.3">
      <c r="A32">
        <v>73</v>
      </c>
      <c r="B32" cm="1">
        <f t="array" ref="B32">BScall($B$1,$B$2,A32,$B$4,$B$5)</f>
        <v>0.49689475815066891</v>
      </c>
      <c r="C32">
        <f t="shared" si="0"/>
        <v>-25.511193960306258</v>
      </c>
    </row>
    <row r="33" spans="1:3" x14ac:dyDescent="0.3">
      <c r="A33">
        <v>74</v>
      </c>
      <c r="B33" cm="1">
        <f t="array" ref="B33">BScall($B$1,$B$2,A33,$B$4,$B$5)</f>
        <v>0.58314716182285142</v>
      </c>
      <c r="C33">
        <f t="shared" si="0"/>
        <v>-24.511193960306258</v>
      </c>
    </row>
    <row r="34" spans="1:3" x14ac:dyDescent="0.3">
      <c r="A34">
        <v>75</v>
      </c>
      <c r="B34" cm="1">
        <f t="array" ref="B34">BScall($B$1,$B$2,A34,$B$4,$B$5)</f>
        <v>0.68052306897048198</v>
      </c>
      <c r="C34">
        <f t="shared" si="0"/>
        <v>-23.511193960306258</v>
      </c>
    </row>
    <row r="35" spans="1:3" x14ac:dyDescent="0.3">
      <c r="A35">
        <v>76</v>
      </c>
      <c r="B35" cm="1">
        <f t="array" ref="B35">BScall($B$1,$B$2,A35,$B$4,$B$5)</f>
        <v>0.78987172756323809</v>
      </c>
      <c r="C35">
        <f t="shared" si="0"/>
        <v>-22.511193960306258</v>
      </c>
    </row>
    <row r="36" spans="1:3" x14ac:dyDescent="0.3">
      <c r="A36">
        <v>77</v>
      </c>
      <c r="B36" cm="1">
        <f t="array" ref="B36">BScall($B$1,$B$2,A36,$B$4,$B$5)</f>
        <v>0.91203802597694295</v>
      </c>
      <c r="C36">
        <f t="shared" si="0"/>
        <v>-21.511193960306258</v>
      </c>
    </row>
    <row r="37" spans="1:3" x14ac:dyDescent="0.3">
      <c r="A37">
        <v>78</v>
      </c>
      <c r="B37" cm="1">
        <f t="array" ref="B37">BScall($B$1,$B$2,A37,$B$4,$B$5)</f>
        <v>1.0478554902252961</v>
      </c>
      <c r="C37">
        <f t="shared" si="0"/>
        <v>-20.511193960306258</v>
      </c>
    </row>
    <row r="38" spans="1:3" x14ac:dyDescent="0.3">
      <c r="A38">
        <v>79</v>
      </c>
      <c r="B38" cm="1">
        <f t="array" ref="B38">BScall($B$1,$B$2,A38,$B$4,$B$5)</f>
        <v>1.1981393691822406</v>
      </c>
      <c r="C38">
        <f t="shared" si="0"/>
        <v>-19.511193960306258</v>
      </c>
    </row>
    <row r="39" spans="1:3" x14ac:dyDescent="0.3">
      <c r="A39">
        <v>80</v>
      </c>
      <c r="B39" cm="1">
        <f t="array" ref="B39">BScall($B$1,$B$2,A39,$B$4,$B$5)</f>
        <v>1.3636799181063297</v>
      </c>
      <c r="C39">
        <f t="shared" si="0"/>
        <v>-18.511193960306258</v>
      </c>
    </row>
    <row r="40" spans="1:3" x14ac:dyDescent="0.3">
      <c r="A40">
        <v>81</v>
      </c>
      <c r="B40" cm="1">
        <f t="array" ref="B40">BScall($B$1,$B$2,A40,$B$4,$B$5)</f>
        <v>1.5452359829136488</v>
      </c>
      <c r="C40">
        <f t="shared" si="0"/>
        <v>-17.511193960306258</v>
      </c>
    </row>
    <row r="41" spans="1:3" x14ac:dyDescent="0.3">
      <c r="A41">
        <v>82</v>
      </c>
      <c r="B41" cm="1">
        <f t="array" ref="B41">BScall($B$1,$B$2,A41,$B$4,$B$5)</f>
        <v>1.7435289777558851</v>
      </c>
      <c r="C41">
        <f t="shared" si="0"/>
        <v>-16.511193960306258</v>
      </c>
    </row>
    <row r="42" spans="1:3" x14ac:dyDescent="0.3">
      <c r="A42">
        <v>83</v>
      </c>
      <c r="B42" cm="1">
        <f t="array" ref="B42">BScall($B$1,$B$2,A42,$B$4,$B$5)</f>
        <v>1.959237336973513</v>
      </c>
      <c r="C42">
        <f t="shared" si="0"/>
        <v>-15.511193960306258</v>
      </c>
    </row>
    <row r="43" spans="1:3" x14ac:dyDescent="0.3">
      <c r="A43">
        <v>84</v>
      </c>
      <c r="B43" cm="1">
        <f t="array" ref="B43">BScall($B$1,$B$2,A43,$B$4,$B$5)</f>
        <v>2.1929915098482757</v>
      </c>
      <c r="C43">
        <f t="shared" si="0"/>
        <v>-14.511193960306258</v>
      </c>
    </row>
    <row r="44" spans="1:3" x14ac:dyDescent="0.3">
      <c r="A44">
        <v>85</v>
      </c>
      <c r="B44" cm="1">
        <f t="array" ref="B44">BScall($B$1,$B$2,A44,$B$4,$B$5)</f>
        <v>2.4453695532062887</v>
      </c>
      <c r="C44">
        <f t="shared" si="0"/>
        <v>-13.511193960306258</v>
      </c>
    </row>
    <row r="45" spans="1:3" x14ac:dyDescent="0.3">
      <c r="A45">
        <v>86</v>
      </c>
      <c r="B45" cm="1">
        <f t="array" ref="B45">BScall($B$1,$B$2,A45,$B$4,$B$5)</f>
        <v>2.7168933632349375</v>
      </c>
      <c r="C45">
        <f t="shared" si="0"/>
        <v>-12.511193960306258</v>
      </c>
    </row>
    <row r="46" spans="1:3" x14ac:dyDescent="0.3">
      <c r="A46">
        <v>87</v>
      </c>
      <c r="B46" cm="1">
        <f t="array" ref="B46">BScall($B$1,$B$2,A46,$B$4,$B$5)</f>
        <v>3.0080255742520707</v>
      </c>
      <c r="C46">
        <f t="shared" si="0"/>
        <v>-11.511193960306258</v>
      </c>
    </row>
    <row r="47" spans="1:3" x14ac:dyDescent="0.3">
      <c r="A47">
        <v>88</v>
      </c>
      <c r="B47" cm="1">
        <f t="array" ref="B47">BScall($B$1,$B$2,A47,$B$4,$B$5)</f>
        <v>3.3191671389440596</v>
      </c>
      <c r="C47">
        <f t="shared" si="0"/>
        <v>-10.511193960306258</v>
      </c>
    </row>
    <row r="48" spans="1:3" x14ac:dyDescent="0.3">
      <c r="A48">
        <v>89</v>
      </c>
      <c r="B48" cm="1">
        <f t="array" ref="B48">BScall($B$1,$B$2,A48,$B$4,$B$5)</f>
        <v>3.6506555920596484</v>
      </c>
      <c r="C48">
        <f t="shared" si="0"/>
        <v>-9.5111939603062581</v>
      </c>
    </row>
    <row r="49" spans="1:3" x14ac:dyDescent="0.3">
      <c r="A49">
        <v>90</v>
      </c>
      <c r="B49" cm="1">
        <f t="array" ref="B49">BScall($B$1,$B$2,A49,$B$4,$B$5)</f>
        <v>4.0027639879510177</v>
      </c>
      <c r="C49">
        <f t="shared" si="0"/>
        <v>-8.5111939603062581</v>
      </c>
    </row>
    <row r="50" spans="1:3" x14ac:dyDescent="0.3">
      <c r="A50">
        <v>91</v>
      </c>
      <c r="B50" cm="1">
        <f t="array" ref="B50">BScall($B$1,$B$2,A50,$B$4,$B$5)</f>
        <v>4.3757004918781854</v>
      </c>
      <c r="C50">
        <f t="shared" si="0"/>
        <v>-7.5111939603062581</v>
      </c>
    </row>
    <row r="51" spans="1:3" x14ac:dyDescent="0.3">
      <c r="A51">
        <v>92</v>
      </c>
      <c r="B51" cm="1">
        <f t="array" ref="B51">BScall($B$1,$B$2,A51,$B$4,$B$5)</f>
        <v>4.7696085957763703</v>
      </c>
      <c r="C51">
        <f t="shared" si="0"/>
        <v>-6.5111939603062581</v>
      </c>
    </row>
    <row r="52" spans="1:3" x14ac:dyDescent="0.3">
      <c r="A52">
        <v>93</v>
      </c>
      <c r="B52" cm="1">
        <f t="array" ref="B52">BScall($B$1,$B$2,A52,$B$4,$B$5)</f>
        <v>5.1845679213136506</v>
      </c>
      <c r="C52">
        <f t="shared" si="0"/>
        <v>-5.5111939603062581</v>
      </c>
    </row>
    <row r="53" spans="1:3" x14ac:dyDescent="0.3">
      <c r="A53">
        <v>94</v>
      </c>
      <c r="B53" cm="1">
        <f t="array" ref="B53">BScall($B$1,$B$2,A53,$B$4,$B$5)</f>
        <v>5.6205955665821694</v>
      </c>
      <c r="C53">
        <f t="shared" si="0"/>
        <v>-4.5111939603062581</v>
      </c>
    </row>
    <row r="54" spans="1:3" x14ac:dyDescent="0.3">
      <c r="A54">
        <v>95</v>
      </c>
      <c r="B54" cm="1">
        <f t="array" ref="B54">BScall($B$1,$B$2,A54,$B$4,$B$5)</f>
        <v>6.0776479476704202</v>
      </c>
      <c r="C54">
        <f t="shared" si="0"/>
        <v>-3.5111939603062581</v>
      </c>
    </row>
    <row r="55" spans="1:3" x14ac:dyDescent="0.3">
      <c r="A55">
        <v>96</v>
      </c>
      <c r="B55" cm="1">
        <f t="array" ref="B55">BScall($B$1,$B$2,A55,$B$4,$B$5)</f>
        <v>6.5556230826238941</v>
      </c>
      <c r="C55">
        <f t="shared" si="0"/>
        <v>-2.5111939603062581</v>
      </c>
    </row>
    <row r="56" spans="1:3" x14ac:dyDescent="0.3">
      <c r="A56">
        <v>97</v>
      </c>
      <c r="B56" cm="1">
        <f t="array" ref="B56">BScall($B$1,$B$2,A56,$B$4,$B$5)</f>
        <v>7.0543632628526751</v>
      </c>
      <c r="C56">
        <f t="shared" si="0"/>
        <v>-1.5111939603062581</v>
      </c>
    </row>
    <row r="57" spans="1:3" x14ac:dyDescent="0.3">
      <c r="A57">
        <v>98</v>
      </c>
      <c r="B57" cm="1">
        <f t="array" ref="B57">BScall($B$1,$B$2,A57,$B$4,$B$5)</f>
        <v>7.573658055800176</v>
      </c>
      <c r="C57">
        <f t="shared" si="0"/>
        <v>-0.51119396030625808</v>
      </c>
    </row>
    <row r="58" spans="1:3" x14ac:dyDescent="0.3">
      <c r="A58">
        <v>99</v>
      </c>
      <c r="B58" cm="1">
        <f t="array" ref="B58">BScall($B$1,$B$2,A58,$B$4,$B$5)</f>
        <v>8.113247582541895</v>
      </c>
      <c r="C58">
        <f t="shared" si="0"/>
        <v>0.48880603969374192</v>
      </c>
    </row>
    <row r="59" spans="1:3" x14ac:dyDescent="0.3">
      <c r="A59">
        <v>100</v>
      </c>
      <c r="B59" cm="1">
        <f t="array" ref="B59">BScall($B$1,$B$2,A59,$B$4,$B$5)</f>
        <v>8.6728260148180123</v>
      </c>
      <c r="C59">
        <f t="shared" si="0"/>
        <v>1.4888060396937419</v>
      </c>
    </row>
    <row r="60" spans="1:3" x14ac:dyDescent="0.3">
      <c r="A60">
        <v>101</v>
      </c>
      <c r="B60" cm="1">
        <f t="array" ref="B60">BScall($B$1,$B$2,A60,$B$4,$B$5)</f>
        <v>9.2520452376923945</v>
      </c>
      <c r="C60">
        <f t="shared" si="0"/>
        <v>2.4888060396937419</v>
      </c>
    </row>
    <row r="61" spans="1:3" x14ac:dyDescent="0.3">
      <c r="A61">
        <v>102</v>
      </c>
      <c r="B61" cm="1">
        <f t="array" ref="B61">BScall($B$1,$B$2,A61,$B$4,$B$5)</f>
        <v>9.8505186264439448</v>
      </c>
      <c r="C61">
        <f t="shared" si="0"/>
        <v>3.4888060396937419</v>
      </c>
    </row>
    <row r="62" spans="1:3" x14ac:dyDescent="0.3">
      <c r="A62">
        <v>103</v>
      </c>
      <c r="B62" cm="1">
        <f t="array" ref="B62">BScall($B$1,$B$2,A62,$B$4,$B$5)</f>
        <v>10.467824889303939</v>
      </c>
      <c r="C62">
        <f t="shared" si="0"/>
        <v>4.4888060396937419</v>
      </c>
    </row>
    <row r="63" spans="1:3" x14ac:dyDescent="0.3">
      <c r="A63">
        <v>104</v>
      </c>
      <c r="B63" cm="1">
        <f t="array" ref="B63">BScall($B$1,$B$2,A63,$B$4,$B$5)</f>
        <v>11.103511931128228</v>
      </c>
      <c r="C63">
        <f t="shared" si="0"/>
        <v>5.4888060396937419</v>
      </c>
    </row>
    <row r="64" spans="1:3" x14ac:dyDescent="0.3">
      <c r="A64">
        <v>105</v>
      </c>
      <c r="B64" cm="1">
        <f t="array" ref="B64">BScall($B$1,$B$2,A64,$B$4,$B$5)</f>
        <v>11.757100696918911</v>
      </c>
      <c r="C64">
        <f t="shared" si="0"/>
        <v>6.4888060396937419</v>
      </c>
    </row>
    <row r="65" spans="1:3" x14ac:dyDescent="0.3">
      <c r="A65">
        <v>106</v>
      </c>
      <c r="B65" cm="1">
        <f t="array" ref="B65">BScall($B$1,$B$2,A65,$B$4,$B$5)</f>
        <v>12.428088958169795</v>
      </c>
      <c r="C65">
        <f t="shared" si="0"/>
        <v>7.4888060396937419</v>
      </c>
    </row>
    <row r="66" spans="1:3" x14ac:dyDescent="0.3">
      <c r="A66">
        <v>107</v>
      </c>
      <c r="B66" cm="1">
        <f t="array" ref="B66">BScall($B$1,$B$2,A66,$B$4,$B$5)</f>
        <v>13.115955009207074</v>
      </c>
      <c r="C66">
        <f t="shared" si="0"/>
        <v>8.4888060396937419</v>
      </c>
    </row>
    <row r="67" spans="1:3" x14ac:dyDescent="0.3">
      <c r="A67">
        <v>108</v>
      </c>
      <c r="B67" cm="1">
        <f t="array" ref="B67">BScall($B$1,$B$2,A67,$B$4,$B$5)</f>
        <v>13.82016124493525</v>
      </c>
      <c r="C67">
        <f t="shared" si="0"/>
        <v>9.4888060396937419</v>
      </c>
    </row>
    <row r="68" spans="1:3" x14ac:dyDescent="0.3">
      <c r="A68">
        <v>109</v>
      </c>
      <c r="B68" cm="1">
        <f t="array" ref="B68">BScall($B$1,$B$2,A68,$B$4,$B$5)</f>
        <v>14.540157595601688</v>
      </c>
      <c r="C68">
        <f t="shared" si="0"/>
        <v>10.488806039693742</v>
      </c>
    </row>
    <row r="69" spans="1:3" x14ac:dyDescent="0.3">
      <c r="A69">
        <v>110</v>
      </c>
      <c r="B69" cm="1">
        <f t="array" ref="B69">BScall($B$1,$B$2,A69,$B$4,$B$5)</f>
        <v>15.275384798290871</v>
      </c>
      <c r="C69">
        <f t="shared" si="0"/>
        <v>11.488806039693742</v>
      </c>
    </row>
    <row r="70" spans="1:3" x14ac:dyDescent="0.3">
      <c r="A70">
        <v>111</v>
      </c>
      <c r="B70" cm="1">
        <f t="array" ref="B70">BScall($B$1,$B$2,A70,$B$4,$B$5)</f>
        <v>16.025277488795165</v>
      </c>
      <c r="C70">
        <f t="shared" si="0"/>
        <v>12.488806039693742</v>
      </c>
    </row>
    <row r="71" spans="1:3" x14ac:dyDescent="0.3">
      <c r="A71">
        <v>112</v>
      </c>
      <c r="B71" cm="1">
        <f t="array" ref="B71">BScall($B$1,$B$2,A71,$B$4,$B$5)</f>
        <v>16.789267101236746</v>
      </c>
      <c r="C71">
        <f t="shared" si="0"/>
        <v>13.488806039693742</v>
      </c>
    </row>
    <row r="72" spans="1:3" x14ac:dyDescent="0.3">
      <c r="A72">
        <v>113</v>
      </c>
      <c r="B72" cm="1">
        <f t="array" ref="B72">BScall($B$1,$B$2,A72,$B$4,$B$5)</f>
        <v>17.566784566298537</v>
      </c>
      <c r="C72">
        <f t="shared" si="0"/>
        <v>14.488806039693742</v>
      </c>
    </row>
    <row r="73" spans="1:3" x14ac:dyDescent="0.3">
      <c r="A73">
        <v>114</v>
      </c>
      <c r="B73" cm="1">
        <f t="array" ref="B73">BScall($B$1,$B$2,A73,$B$4,$B$5)</f>
        <v>18.357262802134787</v>
      </c>
      <c r="C73">
        <f t="shared" si="0"/>
        <v>15.488806039693742</v>
      </c>
    </row>
    <row r="74" spans="1:3" x14ac:dyDescent="0.3">
      <c r="A74">
        <v>115</v>
      </c>
      <c r="B74" cm="1">
        <f t="array" ref="B74">BScall($B$1,$B$2,A74,$B$4,$B$5)</f>
        <v>19.160138994957151</v>
      </c>
      <c r="C74">
        <f t="shared" ref="C74:C109" si="1">A74-$B$2*EXP(-$B$5*$B$1)</f>
        <v>16.488806039693742</v>
      </c>
    </row>
    <row r="75" spans="1:3" x14ac:dyDescent="0.3">
      <c r="A75">
        <v>116</v>
      </c>
      <c r="B75" cm="1">
        <f t="array" ref="B75">BScall($B$1,$B$2,A75,$B$4,$B$5)</f>
        <v>19.97485666891896</v>
      </c>
      <c r="C75">
        <f t="shared" si="1"/>
        <v>17.488806039693742</v>
      </c>
    </row>
    <row r="76" spans="1:3" x14ac:dyDescent="0.3">
      <c r="A76">
        <v>117</v>
      </c>
      <c r="B76" cm="1">
        <f t="array" ref="B76">BScall($B$1,$B$2,A76,$B$4,$B$5)</f>
        <v>20.800867547246614</v>
      </c>
      <c r="C76">
        <f t="shared" si="1"/>
        <v>18.488806039693742</v>
      </c>
    </row>
    <row r="77" spans="1:3" x14ac:dyDescent="0.3">
      <c r="A77">
        <v>118</v>
      </c>
      <c r="B77" cm="1">
        <f t="array" ref="B77">BScall($B$1,$B$2,A77,$B$4,$B$5)</f>
        <v>21.637633208594924</v>
      </c>
      <c r="C77">
        <f t="shared" si="1"/>
        <v>19.488806039693742</v>
      </c>
    </row>
    <row r="78" spans="1:3" x14ac:dyDescent="0.3">
      <c r="A78">
        <v>119</v>
      </c>
      <c r="B78" cm="1">
        <f t="array" ref="B78">BScall($B$1,$B$2,A78,$B$4,$B$5)</f>
        <v>22.484626544340756</v>
      </c>
      <c r="C78">
        <f t="shared" si="1"/>
        <v>20.488806039693742</v>
      </c>
    </row>
    <row r="79" spans="1:3" x14ac:dyDescent="0.3">
      <c r="A79">
        <v>120</v>
      </c>
      <c r="B79" cm="1">
        <f t="array" ref="B79">BScall($B$1,$B$2,A79,$B$4,$B$5)</f>
        <v>23.341333023988231</v>
      </c>
      <c r="C79">
        <f t="shared" si="1"/>
        <v>21.488806039693742</v>
      </c>
    </row>
    <row r="80" spans="1:3" x14ac:dyDescent="0.3">
      <c r="A80">
        <v>121</v>
      </c>
      <c r="B80" cm="1">
        <f t="array" ref="B80">BScall($B$1,$B$2,A80,$B$4,$B$5)</f>
        <v>24.207251777052988</v>
      </c>
      <c r="C80">
        <f t="shared" si="1"/>
        <v>22.488806039693742</v>
      </c>
    </row>
    <row r="81" spans="1:3" x14ac:dyDescent="0.3">
      <c r="A81">
        <v>122</v>
      </c>
      <c r="B81" cm="1">
        <f t="array" ref="B81">BScall($B$1,$B$2,A81,$B$4,$B$5)</f>
        <v>25.081896500741223</v>
      </c>
      <c r="C81">
        <f t="shared" si="1"/>
        <v>23.488806039693742</v>
      </c>
    </row>
    <row r="82" spans="1:3" x14ac:dyDescent="0.3">
      <c r="A82">
        <v>123</v>
      </c>
      <c r="B82" cm="1">
        <f t="array" ref="B82">BScall($B$1,$B$2,A82,$B$4,$B$5)</f>
        <v>25.964796203458938</v>
      </c>
      <c r="C82">
        <f t="shared" si="1"/>
        <v>24.488806039693742</v>
      </c>
    </row>
    <row r="83" spans="1:3" x14ac:dyDescent="0.3">
      <c r="A83">
        <v>124</v>
      </c>
      <c r="B83" cm="1">
        <f t="array" ref="B83">BScall($B$1,$B$2,A83,$B$4,$B$5)</f>
        <v>26.855495794697987</v>
      </c>
      <c r="C83">
        <f t="shared" si="1"/>
        <v>25.488806039693742</v>
      </c>
    </row>
    <row r="84" spans="1:3" x14ac:dyDescent="0.3">
      <c r="A84">
        <v>125</v>
      </c>
      <c r="B84" cm="1">
        <f t="array" ref="B84">BScall($B$1,$B$2,A84,$B$4,$B$5)</f>
        <v>27.753556532170677</v>
      </c>
      <c r="C84">
        <f t="shared" si="1"/>
        <v>26.488806039693742</v>
      </c>
    </row>
    <row r="85" spans="1:3" x14ac:dyDescent="0.3">
      <c r="A85">
        <v>126</v>
      </c>
      <c r="B85" cm="1">
        <f t="array" ref="B85">BScall($B$1,$B$2,A85,$B$4,$B$5)</f>
        <v>28.658556337220496</v>
      </c>
      <c r="C85">
        <f t="shared" si="1"/>
        <v>27.488806039693742</v>
      </c>
    </row>
    <row r="86" spans="1:3" x14ac:dyDescent="0.3">
      <c r="A86">
        <v>127</v>
      </c>
      <c r="B86" cm="1">
        <f t="array" ref="B86">BScall($B$1,$B$2,A86,$B$4,$B$5)</f>
        <v>29.570089989547512</v>
      </c>
      <c r="C86">
        <f t="shared" si="1"/>
        <v>28.488806039693742</v>
      </c>
    </row>
    <row r="87" spans="1:3" x14ac:dyDescent="0.3">
      <c r="A87">
        <v>128</v>
      </c>
      <c r="B87" cm="1">
        <f t="array" ref="B87">BScall($B$1,$B$2,A87,$B$4,$B$5)</f>
        <v>30.487769212169237</v>
      </c>
      <c r="C87">
        <f t="shared" si="1"/>
        <v>29.488806039693742</v>
      </c>
    </row>
    <row r="88" spans="1:3" x14ac:dyDescent="0.3">
      <c r="A88">
        <v>129</v>
      </c>
      <c r="B88" cm="1">
        <f t="array" ref="B88">BScall($B$1,$B$2,A88,$B$4,$B$5)</f>
        <v>31.411222657312369</v>
      </c>
      <c r="C88">
        <f t="shared" si="1"/>
        <v>30.488806039693742</v>
      </c>
    </row>
    <row r="89" spans="1:3" x14ac:dyDescent="0.3">
      <c r="A89">
        <v>130</v>
      </c>
      <c r="B89" cm="1">
        <f t="array" ref="B89">BScall($B$1,$B$2,A89,$B$4,$B$5)</f>
        <v>32.340095803613913</v>
      </c>
      <c r="C89">
        <f t="shared" si="1"/>
        <v>31.488806039693742</v>
      </c>
    </row>
    <row r="90" spans="1:3" x14ac:dyDescent="0.3">
      <c r="A90">
        <v>131</v>
      </c>
      <c r="B90" cm="1">
        <f t="array" ref="B90">BScall($B$1,$B$2,A90,$B$4,$B$5)</f>
        <v>33.274050774619234</v>
      </c>
      <c r="C90">
        <f t="shared" si="1"/>
        <v>32.488806039693742</v>
      </c>
    </row>
    <row r="91" spans="1:3" x14ac:dyDescent="0.3">
      <c r="A91">
        <v>132</v>
      </c>
      <c r="B91" cm="1">
        <f t="array" ref="B91">BScall($B$1,$B$2,A91,$B$4,$B$5)</f>
        <v>34.212766088113852</v>
      </c>
      <c r="C91">
        <f t="shared" si="1"/>
        <v>33.488806039693742</v>
      </c>
    </row>
    <row r="92" spans="1:3" x14ac:dyDescent="0.3">
      <c r="A92">
        <v>133</v>
      </c>
      <c r="B92" cm="1">
        <f t="array" ref="B92">BScall($B$1,$B$2,A92,$B$4,$B$5)</f>
        <v>35.155936345330296</v>
      </c>
      <c r="C92">
        <f t="shared" si="1"/>
        <v>34.488806039693742</v>
      </c>
    </row>
    <row r="93" spans="1:3" x14ac:dyDescent="0.3">
      <c r="A93">
        <v>134</v>
      </c>
      <c r="B93" cm="1">
        <f t="array" ref="B93">BScall($B$1,$B$2,A93,$B$4,$B$5)</f>
        <v>36.103271868541931</v>
      </c>
      <c r="C93">
        <f t="shared" si="1"/>
        <v>35.488806039693742</v>
      </c>
    </row>
    <row r="94" spans="1:3" x14ac:dyDescent="0.3">
      <c r="A94">
        <v>135</v>
      </c>
      <c r="B94" cm="1">
        <f t="array" ref="B94">BScall($B$1,$B$2,A94,$B$4,$B$5)</f>
        <v>37.054498295004876</v>
      </c>
      <c r="C94">
        <f t="shared" si="1"/>
        <v>36.488806039693742</v>
      </c>
    </row>
    <row r="95" spans="1:3" x14ac:dyDescent="0.3">
      <c r="A95">
        <v>136</v>
      </c>
      <c r="B95" cm="1">
        <f t="array" ref="B95">BScall($B$1,$B$2,A95,$B$4,$B$5)</f>
        <v>38.009356134646069</v>
      </c>
      <c r="C95">
        <f t="shared" si="1"/>
        <v>37.488806039693742</v>
      </c>
    </row>
    <row r="96" spans="1:3" x14ac:dyDescent="0.3">
      <c r="A96">
        <v>137</v>
      </c>
      <c r="B96" cm="1">
        <f t="array" ref="B96">BScall($B$1,$B$2,A96,$B$4,$B$5)</f>
        <v>38.967600298328499</v>
      </c>
      <c r="C96">
        <f t="shared" si="1"/>
        <v>38.488806039693742</v>
      </c>
    </row>
    <row r="97" spans="1:3" x14ac:dyDescent="0.3">
      <c r="A97">
        <v>138</v>
      </c>
      <c r="B97" cm="1">
        <f t="array" ref="B97">BScall($B$1,$B$2,A97,$B$4,$B$5)</f>
        <v>39.928999602961568</v>
      </c>
      <c r="C97">
        <f t="shared" si="1"/>
        <v>39.488806039693742</v>
      </c>
    </row>
    <row r="98" spans="1:3" x14ac:dyDescent="0.3">
      <c r="A98">
        <v>139</v>
      </c>
      <c r="B98" cm="1">
        <f t="array" ref="B98">BScall($B$1,$B$2,A98,$B$4,$B$5)</f>
        <v>40.893336259170582</v>
      </c>
      <c r="C98">
        <f t="shared" si="1"/>
        <v>40.488806039693742</v>
      </c>
    </row>
    <row r="99" spans="1:3" x14ac:dyDescent="0.3">
      <c r="A99">
        <v>140</v>
      </c>
      <c r="B99" cm="1">
        <f t="array" ref="B99">BScall($B$1,$B$2,A99,$B$4,$B$5)</f>
        <v>41.860405346701597</v>
      </c>
      <c r="C99">
        <f t="shared" si="1"/>
        <v>41.488806039693742</v>
      </c>
    </row>
    <row r="100" spans="1:3" x14ac:dyDescent="0.3">
      <c r="A100">
        <v>141</v>
      </c>
      <c r="B100" cm="1">
        <f t="array" ref="B100">BScall($B$1,$B$2,A100,$B$4,$B$5)</f>
        <v>42.830014282217292</v>
      </c>
      <c r="C100">
        <f t="shared" si="1"/>
        <v>42.488806039693742</v>
      </c>
    </row>
    <row r="101" spans="1:3" x14ac:dyDescent="0.3">
      <c r="A101">
        <v>142</v>
      </c>
      <c r="B101" cm="1">
        <f t="array" ref="B101">BScall($B$1,$B$2,A101,$B$4,$B$5)</f>
        <v>43.801982283642701</v>
      </c>
      <c r="C101">
        <f t="shared" si="1"/>
        <v>43.488806039693742</v>
      </c>
    </row>
    <row r="102" spans="1:3" x14ac:dyDescent="0.3">
      <c r="A102">
        <v>143</v>
      </c>
      <c r="B102" cm="1">
        <f t="array" ref="B102">BScall($B$1,$B$2,A102,$B$4,$B$5)</f>
        <v>44.776139834747504</v>
      </c>
      <c r="C102">
        <f t="shared" si="1"/>
        <v>44.488806039693742</v>
      </c>
    </row>
    <row r="103" spans="1:3" x14ac:dyDescent="0.3">
      <c r="A103">
        <v>144</v>
      </c>
      <c r="B103" cm="1">
        <f t="array" ref="B103">BScall($B$1,$B$2,A103,$B$4,$B$5)</f>
        <v>45.752328153204857</v>
      </c>
      <c r="C103">
        <f t="shared" si="1"/>
        <v>45.488806039693742</v>
      </c>
    </row>
    <row r="104" spans="1:3" x14ac:dyDescent="0.3">
      <c r="A104">
        <v>145</v>
      </c>
      <c r="B104" cm="1">
        <f t="array" ref="B104">BScall($B$1,$B$2,A104,$B$4,$B$5)</f>
        <v>46.730398664949995</v>
      </c>
      <c r="C104">
        <f t="shared" si="1"/>
        <v>46.488806039693742</v>
      </c>
    </row>
    <row r="105" spans="1:3" x14ac:dyDescent="0.3">
      <c r="A105">
        <v>146</v>
      </c>
      <c r="B105" cm="1">
        <f t="array" ref="B105">BScall($B$1,$B$2,A105,$B$4,$B$5)</f>
        <v>47.710212487270994</v>
      </c>
      <c r="C105">
        <f t="shared" si="1"/>
        <v>47.488806039693742</v>
      </c>
    </row>
    <row r="106" spans="1:3" x14ac:dyDescent="0.3">
      <c r="A106">
        <v>147</v>
      </c>
      <c r="B106" cm="1">
        <f t="array" ref="B106">BScall($B$1,$B$2,A106,$B$4,$B$5)</f>
        <v>48.691639922704653</v>
      </c>
      <c r="C106">
        <f t="shared" si="1"/>
        <v>48.488806039693742</v>
      </c>
    </row>
    <row r="107" spans="1:3" x14ac:dyDescent="0.3">
      <c r="A107">
        <v>148</v>
      </c>
      <c r="B107" cm="1">
        <f t="array" ref="B107">BScall($B$1,$B$2,A107,$B$4,$B$5)</f>
        <v>49.674559965477208</v>
      </c>
      <c r="C107">
        <f t="shared" si="1"/>
        <v>49.488806039693742</v>
      </c>
    </row>
    <row r="108" spans="1:3" x14ac:dyDescent="0.3">
      <c r="A108">
        <v>149</v>
      </c>
      <c r="B108" cm="1">
        <f t="array" ref="B108">BScall($B$1,$B$2,A108,$B$4,$B$5)</f>
        <v>50.658859821926356</v>
      </c>
      <c r="C108">
        <f t="shared" si="1"/>
        <v>50.488806039693742</v>
      </c>
    </row>
    <row r="109" spans="1:3" x14ac:dyDescent="0.3">
      <c r="A109">
        <v>150</v>
      </c>
      <c r="B109" cm="1">
        <f t="array" ref="B109">BScall($B$1,$B$2,A109,$B$4,$B$5)</f>
        <v>51.644434446063123</v>
      </c>
      <c r="C109">
        <f t="shared" si="1"/>
        <v>51.488806039693742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D9530-02BE-48D4-8A86-74991C866066}">
  <dimension ref="A1:B16"/>
  <sheetViews>
    <sheetView zoomScale="190" zoomScaleNormal="190" workbookViewId="0">
      <selection activeCell="B16" sqref="B16"/>
    </sheetView>
  </sheetViews>
  <sheetFormatPr baseColWidth="10" defaultRowHeight="12.45" x14ac:dyDescent="0.3"/>
  <cols>
    <col min="2" max="2" width="12" bestFit="1" customWidth="1"/>
  </cols>
  <sheetData>
    <row r="1" spans="1:2" x14ac:dyDescent="0.3">
      <c r="A1" s="7" t="s">
        <v>18</v>
      </c>
    </row>
    <row r="2" spans="1:2" x14ac:dyDescent="0.3">
      <c r="A2" s="1" t="s">
        <v>25</v>
      </c>
    </row>
    <row r="3" spans="1:2" x14ac:dyDescent="0.3">
      <c r="A3" s="1" t="s">
        <v>19</v>
      </c>
    </row>
    <row r="4" spans="1:2" x14ac:dyDescent="0.3">
      <c r="A4" s="1" t="s">
        <v>20</v>
      </c>
    </row>
    <row r="5" spans="1:2" x14ac:dyDescent="0.3">
      <c r="A5" s="1" t="s">
        <v>21</v>
      </c>
    </row>
    <row r="7" spans="1:2" x14ac:dyDescent="0.3">
      <c r="A7" s="1" t="s">
        <v>22</v>
      </c>
    </row>
    <row r="8" spans="1:2" x14ac:dyDescent="0.3">
      <c r="A8" s="1" t="s">
        <v>23</v>
      </c>
    </row>
    <row r="9" spans="1:2" x14ac:dyDescent="0.3">
      <c r="A9" s="1" t="s">
        <v>0</v>
      </c>
      <c r="B9">
        <v>0.25</v>
      </c>
    </row>
    <row r="10" spans="1:2" x14ac:dyDescent="0.3">
      <c r="A10" s="1" t="s">
        <v>1</v>
      </c>
      <c r="B10">
        <v>50</v>
      </c>
    </row>
    <row r="11" spans="1:2" x14ac:dyDescent="0.3">
      <c r="A11" s="1" t="s">
        <v>2</v>
      </c>
      <c r="B11">
        <v>22</v>
      </c>
    </row>
    <row r="12" spans="1:2" x14ac:dyDescent="0.3">
      <c r="A12" s="1" t="s">
        <v>4</v>
      </c>
      <c r="B12" s="8">
        <v>0.04</v>
      </c>
    </row>
    <row r="13" spans="1:2" x14ac:dyDescent="0.3">
      <c r="A13" s="1" t="s">
        <v>3</v>
      </c>
      <c r="B13" s="8">
        <v>0.18</v>
      </c>
    </row>
    <row r="15" spans="1:2" x14ac:dyDescent="0.3">
      <c r="A15" s="1" t="s">
        <v>24</v>
      </c>
      <c r="B15">
        <f>B10*EXP(-B12*B9)-B11</f>
        <v>27.502491687458402</v>
      </c>
    </row>
    <row r="16" spans="1:2" x14ac:dyDescent="0.3">
      <c r="A16" s="1" t="s">
        <v>26</v>
      </c>
      <c r="B16" cm="1">
        <f t="array" ref="B16">BSput(B9,B10,B11,B13,B12)</f>
        <v>27.502491687458406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FB9CB-3ACA-46E3-AF50-788BB63B594C}">
  <dimension ref="A1:C10"/>
  <sheetViews>
    <sheetView zoomScale="175" zoomScaleNormal="175" workbookViewId="0">
      <selection activeCell="B13" sqref="B13"/>
    </sheetView>
  </sheetViews>
  <sheetFormatPr baseColWidth="10" defaultRowHeight="12.45" x14ac:dyDescent="0.3"/>
  <sheetData>
    <row r="1" spans="1:3" x14ac:dyDescent="0.3">
      <c r="A1" s="1" t="s">
        <v>0</v>
      </c>
      <c r="B1">
        <v>1</v>
      </c>
    </row>
    <row r="2" spans="1:3" x14ac:dyDescent="0.3">
      <c r="A2" s="1" t="s">
        <v>1</v>
      </c>
      <c r="B2">
        <f>B3*EXP(B5*B1)</f>
        <v>101.51130646157189</v>
      </c>
    </row>
    <row r="3" spans="1:3" x14ac:dyDescent="0.3">
      <c r="A3" s="1" t="s">
        <v>2</v>
      </c>
      <c r="B3">
        <v>100</v>
      </c>
    </row>
    <row r="4" spans="1:3" x14ac:dyDescent="0.3">
      <c r="A4" s="1" t="s">
        <v>3</v>
      </c>
      <c r="B4" s="2">
        <v>0.2</v>
      </c>
    </row>
    <row r="5" spans="1:3" x14ac:dyDescent="0.3">
      <c r="A5" s="1" t="s">
        <v>4</v>
      </c>
      <c r="B5" s="2">
        <v>1.4999999999999999E-2</v>
      </c>
    </row>
    <row r="6" spans="1:3" x14ac:dyDescent="0.3">
      <c r="A6" s="1"/>
      <c r="B6" s="2"/>
    </row>
    <row r="8" spans="1:3" x14ac:dyDescent="0.3">
      <c r="A8" s="1" t="s">
        <v>5</v>
      </c>
      <c r="B8" cm="1">
        <f t="array" ref="B8">BScall(B1,B2,B3,B4,B5)</f>
        <v>7.9655674554058065</v>
      </c>
    </row>
    <row r="9" spans="1:3" x14ac:dyDescent="0.3">
      <c r="A9" s="1" t="s">
        <v>6</v>
      </c>
      <c r="B9" cm="1">
        <f t="array" ref="B9">BSput(B1,B2,B3,B4,B5)</f>
        <v>7.9655674554058047</v>
      </c>
    </row>
    <row r="10" spans="1:3" x14ac:dyDescent="0.3">
      <c r="A10" s="1" t="s">
        <v>24</v>
      </c>
      <c r="B10">
        <f>0.4*B3*B4*SQRT(B1)</f>
        <v>8</v>
      </c>
      <c r="C10">
        <f>(1/SQRT(2*PI())*B3*B4*SQRT(B1))</f>
        <v>7.9788456080286538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6235D-BD3B-4C8A-9A69-4150357FBFD5}">
  <dimension ref="A1:J109"/>
  <sheetViews>
    <sheetView zoomScale="130" zoomScaleNormal="130" workbookViewId="0">
      <selection activeCell="B2" sqref="B2"/>
    </sheetView>
  </sheetViews>
  <sheetFormatPr baseColWidth="10" defaultRowHeight="12.45" x14ac:dyDescent="0.3"/>
  <cols>
    <col min="7" max="7" width="12.4609375" customWidth="1"/>
  </cols>
  <sheetData>
    <row r="1" spans="1:10" x14ac:dyDescent="0.3">
      <c r="A1" s="1" t="s">
        <v>0</v>
      </c>
      <c r="B1">
        <v>1</v>
      </c>
    </row>
    <row r="2" spans="1:10" x14ac:dyDescent="0.3">
      <c r="A2" s="1" t="s">
        <v>1</v>
      </c>
      <c r="B2">
        <v>100</v>
      </c>
    </row>
    <row r="3" spans="1:10" x14ac:dyDescent="0.3">
      <c r="A3" s="1" t="s">
        <v>2</v>
      </c>
      <c r="B3">
        <v>100</v>
      </c>
    </row>
    <row r="4" spans="1:10" x14ac:dyDescent="0.3">
      <c r="A4" s="1" t="s">
        <v>3</v>
      </c>
      <c r="B4" s="3">
        <v>0.2</v>
      </c>
    </row>
    <row r="5" spans="1:10" x14ac:dyDescent="0.3">
      <c r="A5" s="1" t="s">
        <v>4</v>
      </c>
      <c r="B5" s="3">
        <v>1.4999999999999999E-2</v>
      </c>
    </row>
    <row r="8" spans="1:10" x14ac:dyDescent="0.3">
      <c r="A8" s="9" t="s">
        <v>2</v>
      </c>
      <c r="B8" s="9" t="s">
        <v>16</v>
      </c>
      <c r="C8" s="9" t="s">
        <v>17</v>
      </c>
      <c r="D8" s="9" t="s">
        <v>27</v>
      </c>
      <c r="E8" s="9" t="s">
        <v>28</v>
      </c>
      <c r="F8" s="9" t="s">
        <v>29</v>
      </c>
      <c r="G8" s="9" t="s">
        <v>30</v>
      </c>
      <c r="H8" s="9" t="s">
        <v>31</v>
      </c>
      <c r="I8" s="9" t="s">
        <v>32</v>
      </c>
      <c r="J8" s="9" t="s">
        <v>33</v>
      </c>
    </row>
    <row r="9" spans="1:10" x14ac:dyDescent="0.3">
      <c r="A9" s="4">
        <v>50</v>
      </c>
      <c r="B9" s="4" cm="1">
        <f t="array" ref="B9">BScall($B$1,$B$2,A9,$B$4,$B$5)</f>
        <v>1.2553851033468468E-3</v>
      </c>
      <c r="C9" s="4">
        <f>A9-$B$2*EXP(-$B$5*$B$1)</f>
        <v>-48.511193960306258</v>
      </c>
      <c r="D9" s="4" cm="1">
        <f t="array" ref="D9">Bscall_delta($B$1,$B$2,A9,$B$4,$B$5)</f>
        <v>4.9962839067458297E-4</v>
      </c>
      <c r="E9" s="4">
        <f>D9*50</f>
        <v>2.4981419533729149E-2</v>
      </c>
      <c r="F9" s="4" cm="1">
        <f t="array" ref="F9">(Bscall_delta($B$1,$B$2,A9+0.0001,$B$4,$B$5)-D9)/0.0001</f>
        <v>1.7759949631919979E-4</v>
      </c>
      <c r="G9" s="4">
        <f>F9*2500</f>
        <v>0.44399874079799945</v>
      </c>
      <c r="H9" s="4" cm="1">
        <f t="array" ref="H9">(BScall($B$1,$B$2,A9,$B$4+0.0001,$B$5)-B9)/0.0001</f>
        <v>8.9053745396549561E-2</v>
      </c>
      <c r="I9" s="4" cm="1">
        <f t="array" ref="I9">(BScall($B$1-0.0001,$B$2,A9,$B$4,$B$5)-B9)/0.0001</f>
        <v>-9.2331764183981035E-3</v>
      </c>
      <c r="J9" s="4">
        <f>-10*I9</f>
        <v>9.2331764183981035E-2</v>
      </c>
    </row>
    <row r="10" spans="1:10" x14ac:dyDescent="0.3">
      <c r="A10" s="4">
        <v>51</v>
      </c>
      <c r="B10" s="4" cm="1">
        <f t="array" ref="B10">BScall($B$1,$B$2,A10,$B$4,$B$5)</f>
        <v>1.8535705625750661E-3</v>
      </c>
      <c r="C10" s="4">
        <f t="shared" ref="C10:C73" si="0">A10-$B$2*EXP(-$B$5*$B$1)</f>
        <v>-47.511193960306258</v>
      </c>
      <c r="D10" s="4" cm="1">
        <f t="array" ref="D10">Bscall_delta($B$1,$B$2,A10,$B$4,$B$5)</f>
        <v>7.0713503012103654E-4</v>
      </c>
      <c r="E10" s="4">
        <f t="shared" ref="E10:E73" si="1">D10*50</f>
        <v>3.5356751506051824E-2</v>
      </c>
      <c r="F10" s="4" cm="1">
        <f t="array" ref="F10">(Bscall_delta($B$1,$B$2,A10+0.0001,$B$4,$B$5)-D10)/0.0001</f>
        <v>2.400031051295274E-4</v>
      </c>
      <c r="G10" s="4">
        <f t="shared" ref="G10:G73" si="2">F10*2500</f>
        <v>0.60000776282381851</v>
      </c>
      <c r="H10" s="4" cm="1">
        <f t="array" ref="H10">(BScall($B$1,$B$2,A10,$B$4+0.0001,$B$5)-B10)/0.0001</f>
        <v>0.12518610804523486</v>
      </c>
      <c r="I10" s="4" cm="1">
        <f t="array" ref="I10">(BScall($B$1-0.0001,$B$2,A10,$B$4,$B$5)-B10)/0.0001</f>
        <v>-1.2994561314008408E-2</v>
      </c>
      <c r="J10" s="4">
        <f t="shared" ref="J10:J73" si="3">-10*I10</f>
        <v>0.12994561314008407</v>
      </c>
    </row>
    <row r="11" spans="1:10" x14ac:dyDescent="0.3">
      <c r="A11" s="4">
        <v>52</v>
      </c>
      <c r="B11" s="4" cm="1">
        <f t="array" ref="B11">BScall($B$1,$B$2,A11,$B$4,$B$5)</f>
        <v>2.6931696202970143E-3</v>
      </c>
      <c r="C11" s="4">
        <f t="shared" si="0"/>
        <v>-46.511193960306258</v>
      </c>
      <c r="D11" s="4" cm="1">
        <f t="array" ref="D11">Bscall_delta($B$1,$B$2,A11,$B$4,$B$5)</f>
        <v>9.8528501477801087E-4</v>
      </c>
      <c r="E11" s="4">
        <f t="shared" si="1"/>
        <v>4.926425073890054E-2</v>
      </c>
      <c r="F11" s="4" cm="1">
        <f t="array" ref="F11">(Bscall_delta($B$1,$B$2,A11+0.0001,$B$4,$B$5)-D11)/0.0001</f>
        <v>3.1938762304383264E-4</v>
      </c>
      <c r="G11" s="4">
        <f t="shared" si="2"/>
        <v>0.79846905760958164</v>
      </c>
      <c r="H11" s="4" cm="1">
        <f t="array" ref="H11">(BScall($B$1,$B$2,A11,$B$4+0.0001,$B$5)-B11)/0.0001</f>
        <v>0.17316320621488418</v>
      </c>
      <c r="I11" s="4" cm="1">
        <f t="array" ref="I11">(BScall($B$1-0.0001,$B$2,A11,$B$4,$B$5)-B11)/0.0001</f>
        <v>-1.7995986653562487E-2</v>
      </c>
      <c r="J11" s="4">
        <f t="shared" si="3"/>
        <v>0.17995986653562487</v>
      </c>
    </row>
    <row r="12" spans="1:10" x14ac:dyDescent="0.3">
      <c r="A12" s="4">
        <v>53</v>
      </c>
      <c r="B12" s="4" cm="1">
        <f t="array" ref="B12">BScall($B$1,$B$2,A12,$B$4,$B$5)</f>
        <v>3.8538257030165902E-3</v>
      </c>
      <c r="C12" s="4">
        <f t="shared" si="0"/>
        <v>-45.511193960306258</v>
      </c>
      <c r="D12" s="4" cm="1">
        <f t="array" ref="D12">Bscall_delta($B$1,$B$2,A12,$B$4,$B$5)</f>
        <v>1.3525978861203978E-3</v>
      </c>
      <c r="E12" s="4">
        <f t="shared" si="1"/>
        <v>6.7629894306019886E-2</v>
      </c>
      <c r="F12" s="4" cm="1">
        <f t="array" ref="F12">(Bscall_delta($B$1,$B$2,A12+0.0001,$B$4,$B$5)-D12)/0.0001</f>
        <v>4.1886846998935925E-4</v>
      </c>
      <c r="G12" s="4">
        <f t="shared" si="2"/>
        <v>1.0471711749733981</v>
      </c>
      <c r="H12" s="4" cm="1">
        <f t="array" ref="H12">(BScall($B$1,$B$2,A12,$B$4+0.0001,$B$5)-B12)/0.0001</f>
        <v>0.23588235889446599</v>
      </c>
      <c r="I12" s="4" cm="1">
        <f t="array" ref="I12">(BScall($B$1-0.0001,$B$2,A12,$B$4,$B$5)-B12)/0.0001</f>
        <v>-2.454362937717898E-2</v>
      </c>
      <c r="J12" s="4">
        <f t="shared" si="3"/>
        <v>0.2454362937717898</v>
      </c>
    </row>
    <row r="13" spans="1:10" x14ac:dyDescent="0.3">
      <c r="A13" s="4">
        <v>54</v>
      </c>
      <c r="B13" s="4" cm="1">
        <f t="array" ref="B13">BScall($B$1,$B$2,A13,$B$4,$B$5)</f>
        <v>5.4352949896783456E-3</v>
      </c>
      <c r="C13" s="4">
        <f t="shared" si="0"/>
        <v>-44.511193960306258</v>
      </c>
      <c r="D13" s="4" cm="1">
        <f t="array" ref="D13">Bscall_delta($B$1,$B$2,A13,$B$4,$B$5)</f>
        <v>1.8308126904745196E-3</v>
      </c>
      <c r="E13" s="4">
        <f t="shared" si="1"/>
        <v>9.1540634523725975E-2</v>
      </c>
      <c r="F13" s="4" cm="1">
        <f t="array" ref="F13">(Bscall_delta($B$1,$B$2,A13+0.0001,$B$4,$B$5)-D13)/0.0001</f>
        <v>5.4175930163866126E-4</v>
      </c>
      <c r="G13" s="4">
        <f t="shared" si="2"/>
        <v>1.3543982540966533</v>
      </c>
      <c r="H13" s="4" cm="1">
        <f t="array" ref="H13">(BScall($B$1,$B$2,A13,$B$4+0.0001,$B$5)-B13)/0.0001</f>
        <v>0.31666369350021556</v>
      </c>
      <c r="I13" s="4" cm="1">
        <f t="array" ref="I13">(BScall($B$1-0.0001,$B$2,A13,$B$4,$B$5)-B13)/0.0001</f>
        <v>-3.2989391470080939E-2</v>
      </c>
      <c r="J13" s="4">
        <f t="shared" si="3"/>
        <v>0.32989391470080942</v>
      </c>
    </row>
    <row r="14" spans="1:10" x14ac:dyDescent="0.3">
      <c r="A14" s="4">
        <v>55</v>
      </c>
      <c r="B14" s="4" cm="1">
        <f t="array" ref="B14">BScall($B$1,$B$2,A14,$B$4,$B$5)</f>
        <v>7.5607544480032589E-3</v>
      </c>
      <c r="C14" s="4">
        <f t="shared" si="0"/>
        <v>-43.511193960306258</v>
      </c>
      <c r="D14" s="4" cm="1">
        <f t="array" ref="D14">Bscall_delta($B$1,$B$2,A14,$B$4,$B$5)</f>
        <v>2.4450538279080073E-3</v>
      </c>
      <c r="E14" s="4">
        <f t="shared" si="1"/>
        <v>0.12225269139540036</v>
      </c>
      <c r="F14" s="4" cm="1">
        <f t="array" ref="F14">(Bscall_delta($B$1,$B$2,A14+0.0001,$B$4,$B$5)-D14)/0.0001</f>
        <v>6.9150474776846771E-4</v>
      </c>
      <c r="G14" s="4">
        <f t="shared" si="2"/>
        <v>1.7287618694211693</v>
      </c>
      <c r="H14" s="4" cm="1">
        <f t="array" ref="H14">(BScall($B$1,$B$2,A14,$B$4+0.0001,$B$5)-B14)/0.0001</f>
        <v>0.41924338347021012</v>
      </c>
      <c r="I14" s="4" cm="1">
        <f t="array" ref="I14">(BScall($B$1-0.0001,$B$2,A14,$B$4,$B$5)-B14)/0.0001</f>
        <v>-4.3730567816958887E-2</v>
      </c>
      <c r="J14" s="4">
        <f t="shared" si="3"/>
        <v>0.43730567816958887</v>
      </c>
    </row>
    <row r="15" spans="1:10" x14ac:dyDescent="0.3">
      <c r="A15" s="4">
        <v>56</v>
      </c>
      <c r="B15" s="4" cm="1">
        <f t="array" ref="B15">BScall($B$1,$B$2,A15,$B$4,$B$5)</f>
        <v>1.0380239676726712E-2</v>
      </c>
      <c r="C15" s="4">
        <f t="shared" si="0"/>
        <v>-42.511193960306258</v>
      </c>
      <c r="D15" s="4" cm="1">
        <f t="array" ref="D15">Bscall_delta($B$1,$B$2,A15,$B$4,$B$5)</f>
        <v>3.223922476036375E-3</v>
      </c>
      <c r="E15" s="4">
        <f t="shared" si="1"/>
        <v>0.16119612380181875</v>
      </c>
      <c r="F15" s="4" cm="1">
        <f t="array" ref="F15">(Bscall_delta($B$1,$B$2,A15+0.0001,$B$4,$B$5)-D15)/0.0001</f>
        <v>8.7159913020502799E-4</v>
      </c>
      <c r="G15" s="4">
        <f t="shared" si="2"/>
        <v>2.1789978255125702</v>
      </c>
      <c r="H15" s="4" cm="1">
        <f t="array" ref="H15">(BScall($B$1,$B$2,A15,$B$4+0.0001,$B$5)-B15)/0.0001</f>
        <v>0.54775032102175047</v>
      </c>
      <c r="I15" s="4" cm="1">
        <f t="array" ref="I15">(BScall($B$1-0.0001,$B$2,A15,$B$4,$B$5)-B15)/0.0001</f>
        <v>-5.7207808192259735E-2</v>
      </c>
      <c r="J15" s="4">
        <f t="shared" si="3"/>
        <v>0.57207808192259735</v>
      </c>
    </row>
    <row r="16" spans="1:10" x14ac:dyDescent="0.3">
      <c r="A16" s="4">
        <v>57</v>
      </c>
      <c r="B16" s="4" cm="1">
        <f t="array" ref="B16">BScall($B$1,$B$2,A16,$B$4,$B$5)</f>
        <v>1.4074131461206753E-2</v>
      </c>
      <c r="C16" s="4">
        <f t="shared" si="0"/>
        <v>-41.511193960306258</v>
      </c>
      <c r="D16" s="4" cm="1">
        <f t="array" ref="D16">Bscall_delta($B$1,$B$2,A16,$B$4,$B$5)</f>
        <v>4.1995006307675529E-3</v>
      </c>
      <c r="E16" s="4">
        <f t="shared" si="1"/>
        <v>0.20997503153837765</v>
      </c>
      <c r="F16" s="4" cm="1">
        <f t="array" ref="F16">(Bscall_delta($B$1,$B$2,A16+0.0001,$B$4,$B$5)-D16)/0.0001</f>
        <v>1.0854934209131306E-3</v>
      </c>
      <c r="G16" s="4">
        <f t="shared" si="2"/>
        <v>2.7137335522828265</v>
      </c>
      <c r="H16" s="4" cm="1">
        <f t="array" ref="H16">(BScall($B$1,$B$2,A16,$B$4+0.0001,$B$5)-B16)/0.0001</f>
        <v>0.70666491848904089</v>
      </c>
      <c r="I16" s="4" cm="1">
        <f t="array" ref="I16">(BScall($B$1-0.0001,$B$2,A16,$B$4,$B$5)-B16)/0.0001</f>
        <v>-7.3901224141754984E-2</v>
      </c>
      <c r="J16" s="4">
        <f t="shared" si="3"/>
        <v>0.73901224141754984</v>
      </c>
    </row>
    <row r="17" spans="1:10" x14ac:dyDescent="0.3">
      <c r="A17" s="4">
        <v>58</v>
      </c>
      <c r="B17" s="4" cm="1">
        <f t="array" ref="B17">BScall($B$1,$B$2,A17,$B$4,$B$5)</f>
        <v>1.8856598251942389E-2</v>
      </c>
      <c r="C17" s="4">
        <f t="shared" si="0"/>
        <v>-40.511193960306258</v>
      </c>
      <c r="D17" s="4" cm="1">
        <f t="array" ref="D17">Bscall_delta($B$1,$B$2,A17,$B$4,$B$5)</f>
        <v>5.4072574510890285E-3</v>
      </c>
      <c r="E17" s="4">
        <f t="shared" si="1"/>
        <v>0.27036287255445141</v>
      </c>
      <c r="F17" s="4" cm="1">
        <f t="array" ref="F17">(Bscall_delta($B$1,$B$2,A17+0.0001,$B$4,$B$5)-D17)/0.0001</f>
        <v>1.336493447500961E-3</v>
      </c>
      <c r="G17" s="4">
        <f t="shared" si="2"/>
        <v>3.3412336187524025</v>
      </c>
      <c r="H17" s="4" cm="1">
        <f t="array" ref="H17">(BScall($B$1,$B$2,A17,$B$4+0.0001,$B$5)-B17)/0.0001</f>
        <v>0.90075949479389428</v>
      </c>
      <c r="I17" s="4" cm="1">
        <f t="array" ref="I17">(BScall($B$1-0.0001,$B$2,A17,$B$4,$B$5)-B17)/0.0001</f>
        <v>-9.4324568785247864E-2</v>
      </c>
      <c r="J17" s="4">
        <f t="shared" si="3"/>
        <v>0.94324568785247864</v>
      </c>
    </row>
    <row r="18" spans="1:10" x14ac:dyDescent="0.3">
      <c r="A18" s="4">
        <v>59</v>
      </c>
      <c r="B18" s="4" cm="1">
        <f t="array" ref="B18">BScall($B$1,$B$2,A18,$B$4,$B$5)</f>
        <v>2.4978893073787874E-2</v>
      </c>
      <c r="C18" s="4">
        <f t="shared" si="0"/>
        <v>-39.511193960306258</v>
      </c>
      <c r="D18" s="4" cm="1">
        <f t="array" ref="D18">Bscall_delta($B$1,$B$2,A18,$B$4,$B$5)</f>
        <v>6.8858509169433986E-3</v>
      </c>
      <c r="E18" s="4">
        <f t="shared" si="1"/>
        <v>0.34429254584716995</v>
      </c>
      <c r="F18" s="4" cm="1">
        <f t="array" ref="F18">(Bscall_delta($B$1,$B$2,A18+0.0001,$B$4,$B$5)-D18)/0.0001</f>
        <v>1.6276529543873125E-3</v>
      </c>
      <c r="G18" s="4">
        <f t="shared" si="2"/>
        <v>4.0691323859682811</v>
      </c>
      <c r="H18" s="4" cm="1">
        <f t="array" ref="H18">(BScall($B$1,$B$2,A18,$B$4+0.0001,$B$5)-B18)/0.0001</f>
        <v>1.1350205505048296</v>
      </c>
      <c r="I18" s="4" cm="1">
        <f t="array" ref="I18">(BScall($B$1-0.0001,$B$2,A18,$B$4,$B$5)-B18)/0.0001</f>
        <v>-0.11901750397096816</v>
      </c>
      <c r="J18" s="4">
        <f t="shared" si="3"/>
        <v>1.1901750397096817</v>
      </c>
    </row>
    <row r="19" spans="1:10" x14ac:dyDescent="0.3">
      <c r="A19" s="4">
        <v>60</v>
      </c>
      <c r="B19" s="4" cm="1">
        <f t="array" ref="B19">BScall($B$1,$B$2,A19,$B$4,$B$5)</f>
        <v>3.2732398262000098E-2</v>
      </c>
      <c r="C19" s="4">
        <f t="shared" si="0"/>
        <v>-38.511193960306258</v>
      </c>
      <c r="D19" s="4" cm="1">
        <f t="array" ref="D19">Bscall_delta($B$1,$B$2,A19,$B$4,$B$5)</f>
        <v>8.6768216356122307E-3</v>
      </c>
      <c r="E19" s="4">
        <f t="shared" si="1"/>
        <v>0.43384108178061154</v>
      </c>
      <c r="F19" s="4" cm="1">
        <f t="array" ref="F19">(Bscall_delta($B$1,$B$2,A19+0.0001,$B$4,$B$5)-D19)/0.0001</f>
        <v>1.9616655303963948E-3</v>
      </c>
      <c r="G19" s="4">
        <f t="shared" si="2"/>
        <v>4.9041638259909872</v>
      </c>
      <c r="H19" s="4" cm="1">
        <f t="array" ref="H19">(BScall($B$1,$B$2,A19,$B$4+0.0001,$B$5)-B19)/0.0001</f>
        <v>1.4145541151822094</v>
      </c>
      <c r="I19" s="4" cm="1">
        <f t="array" ref="I19">(BScall($B$1-0.0001,$B$2,A19,$B$4,$B$5)-B19)/0.0001</f>
        <v>-0.14853606025280741</v>
      </c>
      <c r="J19" s="4">
        <f t="shared" si="3"/>
        <v>1.4853606025280741</v>
      </c>
    </row>
    <row r="20" spans="1:10" x14ac:dyDescent="0.3">
      <c r="A20" s="4">
        <v>61</v>
      </c>
      <c r="B20" s="4" cm="1">
        <f t="array" ref="B20">BScall($B$1,$B$2,A20,$B$4,$B$5)</f>
        <v>4.2451310304189228E-2</v>
      </c>
      <c r="C20" s="4">
        <f t="shared" si="0"/>
        <v>-37.511193960306258</v>
      </c>
      <c r="D20" s="4" cm="1">
        <f t="array" ref="D20">Bscall_delta($B$1,$B$2,A20,$B$4,$B$5)</f>
        <v>1.0824179759219614E-2</v>
      </c>
      <c r="E20" s="4">
        <f t="shared" si="1"/>
        <v>0.54120898796098071</v>
      </c>
      <c r="F20" s="4" cm="1">
        <f t="array" ref="F20">(Bscall_delta($B$1,$B$2,A20+0.0001,$B$4,$B$5)-D20)/0.0001</f>
        <v>2.3407596087300642E-3</v>
      </c>
      <c r="G20" s="4">
        <f t="shared" si="2"/>
        <v>5.8518990218251608</v>
      </c>
      <c r="H20" s="4" cm="1">
        <f t="array" ref="H20">(BScall($B$1,$B$2,A20,$B$4+0.0001,$B$5)-B20)/0.0001</f>
        <v>1.7444762119092627</v>
      </c>
      <c r="I20" s="4" cm="1">
        <f t="array" ref="I20">(BScall($B$1-0.0001,$B$2,A20,$B$4,$B$5)-B20)/0.0001</f>
        <v>-0.18344148463723953</v>
      </c>
      <c r="J20" s="4">
        <f t="shared" si="3"/>
        <v>1.8344148463723953</v>
      </c>
    </row>
    <row r="21" spans="1:10" x14ac:dyDescent="0.3">
      <c r="A21" s="4">
        <v>62</v>
      </c>
      <c r="B21" s="4" cm="1">
        <f t="array" ref="B21">BScall($B$1,$B$2,A21,$B$4,$B$5)</f>
        <v>5.4514860136629532E-2</v>
      </c>
      <c r="C21" s="4">
        <f t="shared" si="0"/>
        <v>-36.511193960306258</v>
      </c>
      <c r="D21" s="4" cm="1">
        <f t="array" ref="D21">Bscall_delta($B$1,$B$2,A21,$B$4,$B$5)</f>
        <v>1.3373890184462521E-2</v>
      </c>
      <c r="E21" s="4">
        <f t="shared" si="1"/>
        <v>0.66869450922312601</v>
      </c>
      <c r="F21" s="4" cm="1">
        <f t="array" ref="F21">(Bscall_delta($B$1,$B$2,A21+0.0001,$B$4,$B$5)-D21)/0.0001</f>
        <v>2.7666007137473747E-3</v>
      </c>
      <c r="G21" s="4">
        <f t="shared" si="2"/>
        <v>6.9165017843684371</v>
      </c>
      <c r="H21" s="4" cm="1">
        <f t="array" ref="H21">(BScall($B$1,$B$2,A21,$B$4+0.0001,$B$5)-B21)/0.0001</f>
        <v>2.1297912739184217</v>
      </c>
      <c r="I21" s="4" cm="1">
        <f t="array" ref="I21">(BScall($B$1-0.0001,$B$2,A21,$B$4,$B$5)-B21)/0.0001</f>
        <v>-0.22428775429156333</v>
      </c>
      <c r="J21" s="4">
        <f t="shared" si="3"/>
        <v>2.2428775429156333</v>
      </c>
    </row>
    <row r="22" spans="1:10" x14ac:dyDescent="0.3">
      <c r="A22" s="4">
        <v>63</v>
      </c>
      <c r="B22" s="4" cm="1">
        <f t="array" ref="B22">BScall($B$1,$B$2,A22,$B$4,$B$5)</f>
        <v>6.9348971469880311E-2</v>
      </c>
      <c r="C22" s="4">
        <f t="shared" si="0"/>
        <v>-35.511193960306258</v>
      </c>
      <c r="D22" s="4" cm="1">
        <f t="array" ref="D22">Bscall_delta($B$1,$B$2,A22,$B$4,$B$5)</f>
        <v>1.637326527559357E-2</v>
      </c>
      <c r="E22" s="4">
        <f t="shared" si="1"/>
        <v>0.81866326377967846</v>
      </c>
      <c r="F22" s="4" cm="1">
        <f t="array" ref="F22">(Bscall_delta($B$1,$B$2,A22+0.0001,$B$4,$B$5)-D22)/0.0001</f>
        <v>3.2402048858598542E-3</v>
      </c>
      <c r="G22" s="4">
        <f t="shared" si="2"/>
        <v>8.1005122146496351</v>
      </c>
      <c r="H22" s="4" cm="1">
        <f t="array" ref="H22">(BScall($B$1,$B$2,A22,$B$4+0.0001,$B$5)-B22)/0.0001</f>
        <v>2.5752620209085197</v>
      </c>
      <c r="I22" s="4" cm="1">
        <f t="array" ref="I22">(BScall($B$1-0.0001,$B$2,A22,$B$4,$B$5)-B22)/0.0001</f>
        <v>-0.27160810645243672</v>
      </c>
      <c r="J22" s="4">
        <f t="shared" si="3"/>
        <v>2.7160810645243672</v>
      </c>
    </row>
    <row r="23" spans="1:10" x14ac:dyDescent="0.3">
      <c r="A23" s="4">
        <v>64</v>
      </c>
      <c r="B23" s="4" cm="1">
        <f t="array" ref="B23">BScall($B$1,$B$2,A23,$B$4,$B$5)</f>
        <v>8.7427270859128672E-2</v>
      </c>
      <c r="C23" s="4">
        <f t="shared" si="0"/>
        <v>-34.511193960306258</v>
      </c>
      <c r="D23" s="4" cm="1">
        <f t="array" ref="D23">Bscall_delta($B$1,$B$2,A23,$B$4,$B$5)</f>
        <v>1.9870278077264287E-2</v>
      </c>
      <c r="E23" s="4">
        <f t="shared" si="1"/>
        <v>0.99351390386321436</v>
      </c>
      <c r="F23" s="4" cm="1">
        <f t="array" ref="F23">(Bscall_delta($B$1,$B$2,A23+0.0001,$B$4,$B$5)-D23)/0.0001</f>
        <v>3.7618667740949019E-3</v>
      </c>
      <c r="G23" s="4">
        <f t="shared" si="2"/>
        <v>9.4046669352372554</v>
      </c>
      <c r="H23" s="4" cm="1">
        <f t="array" ref="H23">(BScall($B$1,$B$2,A23,$B$4+0.0001,$B$5)-B23)/0.0001</f>
        <v>3.0852748210036252</v>
      </c>
      <c r="I23" s="4" cm="1">
        <f t="array" ref="I23">(BScall($B$1-0.0001,$B$2,A23,$B$4,$B$5)-B23)/0.0001</f>
        <v>-0.32590099093565694</v>
      </c>
      <c r="J23" s="4">
        <f t="shared" si="3"/>
        <v>3.2590099093565694</v>
      </c>
    </row>
    <row r="24" spans="1:10" x14ac:dyDescent="0.3">
      <c r="A24" s="4">
        <v>65</v>
      </c>
      <c r="B24" s="4" cm="1">
        <f t="array" ref="B24">BScall($B$1,$B$2,A24,$B$4,$B$5)</f>
        <v>0.10927137785249373</v>
      </c>
      <c r="C24" s="4">
        <f t="shared" si="0"/>
        <v>-33.511193960306258</v>
      </c>
      <c r="D24" s="4" cm="1">
        <f t="array" ref="D24">Bscall_delta($B$1,$B$2,A24,$B$4,$B$5)</f>
        <v>2.3912812185841927E-2</v>
      </c>
      <c r="E24" s="4">
        <f t="shared" si="1"/>
        <v>1.1956406092920964</v>
      </c>
      <c r="F24" s="4" cm="1">
        <f t="array" ref="F24">(Bscall_delta($B$1,$B$2,A24+0.0001,$B$4,$B$5)-D24)/0.0001</f>
        <v>4.3311052866021327E-3</v>
      </c>
      <c r="G24" s="4">
        <f t="shared" si="2"/>
        <v>10.827763216505332</v>
      </c>
      <c r="H24" s="4" cm="1">
        <f t="array" ref="H24">(BScall($B$1,$B$2,A24,$B$4+0.0001,$B$5)-B24)/0.0001</f>
        <v>3.6637048984965168</v>
      </c>
      <c r="I24" s="4" cm="1">
        <f t="array" ref="I24">(BScall($B$1-0.0001,$B$2,A24,$B$4,$B$5)-B24)/0.0001</f>
        <v>-0.38761589032834665</v>
      </c>
      <c r="J24" s="4">
        <f t="shared" si="3"/>
        <v>3.8761589032834665</v>
      </c>
    </row>
    <row r="25" spans="1:10" x14ac:dyDescent="0.3">
      <c r="A25" s="4">
        <v>66</v>
      </c>
      <c r="B25" s="4" cm="1">
        <f t="array" ref="B25">BScall($B$1,$B$2,A25,$B$4,$B$5)</f>
        <v>0.13545042104722396</v>
      </c>
      <c r="C25" s="4">
        <f t="shared" si="0"/>
        <v>-32.511193960306258</v>
      </c>
      <c r="D25" s="4" cm="1">
        <f t="array" ref="D25">Bscall_delta($B$1,$B$2,A25,$B$4,$B$5)</f>
        <v>2.8547866983057179E-2</v>
      </c>
      <c r="E25" s="4">
        <f t="shared" si="1"/>
        <v>1.427393349152859</v>
      </c>
      <c r="F25" s="4" cm="1">
        <f t="array" ref="F25">(Bscall_delta($B$1,$B$2,A25+0.0001,$B$4,$B$5)-D25)/0.0001</f>
        <v>4.9466289615829329E-3</v>
      </c>
      <c r="G25" s="4">
        <f t="shared" si="2"/>
        <v>12.366572403957331</v>
      </c>
      <c r="H25" s="4" cm="1">
        <f t="array" ref="H25">(BScall($B$1,$B$2,A25,$B$4+0.0001,$B$5)-B25)/0.0001</f>
        <v>4.3137858844760624</v>
      </c>
      <c r="I25" s="4" cm="1">
        <f t="array" ref="I25">(BScall($B$1-0.0001,$B$2,A25,$B$4,$B$5)-B25)/0.0001</f>
        <v>-0.45713947060460614</v>
      </c>
      <c r="J25" s="4">
        <f t="shared" si="3"/>
        <v>4.5713947060460614</v>
      </c>
    </row>
    <row r="26" spans="1:10" x14ac:dyDescent="0.3">
      <c r="A26" s="4">
        <v>67</v>
      </c>
      <c r="B26" s="4" cm="1">
        <f t="array" ref="B26">BScall($B$1,$B$2,A26,$B$4,$B$5)</f>
        <v>0.16657974553832375</v>
      </c>
      <c r="C26" s="4">
        <f t="shared" si="0"/>
        <v>-31.511193960306258</v>
      </c>
      <c r="D26" s="4" cm="1">
        <f t="array" ref="D26">Bscall_delta($B$1,$B$2,A26,$B$4,$B$5)</f>
        <v>3.3820738703481276E-2</v>
      </c>
      <c r="E26" s="4">
        <f t="shared" si="1"/>
        <v>1.6910369351740637</v>
      </c>
      <c r="F26" s="4" cm="1">
        <f t="array" ref="F26">(Bscall_delta($B$1,$B$2,A26+0.0001,$B$4,$B$5)-D26)/0.0001</f>
        <v>5.6063224235930464E-3</v>
      </c>
      <c r="G26" s="4">
        <f t="shared" si="2"/>
        <v>14.015806058982616</v>
      </c>
      <c r="H26" s="4" cm="1">
        <f t="array" ref="H26">(BScall($B$1,$B$2,A26,$B$4+0.0001,$B$5)-B26)/0.0001</f>
        <v>5.037988142430061</v>
      </c>
      <c r="I26" s="4" cm="1">
        <f t="array" ref="I26">(BScall($B$1-0.0001,$B$2,A26,$B$4,$B$5)-B26)/0.0001</f>
        <v>-0.53478252242528113</v>
      </c>
      <c r="J26" s="4">
        <f t="shared" si="3"/>
        <v>5.3478252242528113</v>
      </c>
    </row>
    <row r="27" spans="1:10" x14ac:dyDescent="0.3">
      <c r="A27" s="4">
        <v>68</v>
      </c>
      <c r="B27" s="4" cm="1">
        <f t="array" ref="B27">BScall($B$1,$B$2,A27,$B$4,$B$5)</f>
        <v>0.20331879825768173</v>
      </c>
      <c r="C27" s="4">
        <f t="shared" si="0"/>
        <v>-30.511193960306258</v>
      </c>
      <c r="D27" s="4" cm="1">
        <f t="array" ref="D27">Bscall_delta($B$1,$B$2,A27,$B$4,$B$5)</f>
        <v>3.9774198751787546E-2</v>
      </c>
      <c r="E27" s="4">
        <f t="shared" si="1"/>
        <v>1.9887099375893773</v>
      </c>
      <c r="F27" s="4" cm="1">
        <f t="array" ref="F27">(Bscall_delta($B$1,$B$2,A27+0.0001,$B$4,$B$5)-D27)/0.0001</f>
        <v>6.3072544481679316E-3</v>
      </c>
      <c r="G27" s="4">
        <f t="shared" si="2"/>
        <v>15.768136120419829</v>
      </c>
      <c r="H27" s="4" cm="1">
        <f t="array" ref="H27">(BScall($B$1,$B$2,A27,$B$4+0.0001,$B$5)-B27)/0.0001</f>
        <v>5.837910040542571</v>
      </c>
      <c r="I27" s="4" cm="1">
        <f t="array" ref="I27">(BScall($B$1-0.0001,$B$2,A27,$B$4,$B$5)-B27)/0.0001</f>
        <v>-0.62076813096945127</v>
      </c>
      <c r="J27" s="4">
        <f t="shared" si="3"/>
        <v>6.2076813096945127</v>
      </c>
    </row>
    <row r="28" spans="1:10" x14ac:dyDescent="0.3">
      <c r="A28" s="4">
        <v>69</v>
      </c>
      <c r="B28" s="4" cm="1">
        <f t="array" ref="B28">BScall($B$1,$B$2,A28,$B$4,$B$5)</f>
        <v>0.24636819924173428</v>
      </c>
      <c r="C28" s="4">
        <f t="shared" si="0"/>
        <v>-29.511193960306258</v>
      </c>
      <c r="D28" s="4" cm="1">
        <f t="array" ref="D28">Bscall_delta($B$1,$B$2,A28,$B$4,$B$5)</f>
        <v>4.6447690796419007E-2</v>
      </c>
      <c r="E28" s="4">
        <f t="shared" si="1"/>
        <v>2.3223845398209502</v>
      </c>
      <c r="F28" s="4" cm="1">
        <f t="array" ref="F28">(Bscall_delta($B$1,$B$2,A28+0.0001,$B$4,$B$5)-D28)/0.0001</f>
        <v>7.0457073358259903E-3</v>
      </c>
      <c r="G28" s="4">
        <f t="shared" si="2"/>
        <v>17.614268339564976</v>
      </c>
      <c r="H28" s="4" cm="1">
        <f t="array" ref="H28">(BScall($B$1,$B$2,A28,$B$4+0.0001,$B$5)-B28)/0.0001</f>
        <v>6.7141859084382522</v>
      </c>
      <c r="I28" s="4" cm="1">
        <f t="array" ref="I28">(BScall($B$1-0.0001,$B$2,A28,$B$4,$B$5)-B28)/0.0001</f>
        <v>-0.71522147043118212</v>
      </c>
      <c r="J28" s="4">
        <f t="shared" si="3"/>
        <v>7.1522147043118212</v>
      </c>
    </row>
    <row r="29" spans="1:10" x14ac:dyDescent="0.3">
      <c r="A29" s="4">
        <v>70</v>
      </c>
      <c r="B29" s="4" cm="1">
        <f t="array" ref="B29">BScall($B$1,$B$2,A29,$B$4,$B$5)</f>
        <v>0.29646602811105754</v>
      </c>
      <c r="C29" s="4">
        <f t="shared" si="0"/>
        <v>-28.511193960306258</v>
      </c>
      <c r="D29" s="4" cm="1">
        <f t="array" ref="D29">Bscall_delta($B$1,$B$2,A29,$B$4,$B$5)</f>
        <v>5.3876567474486478E-2</v>
      </c>
      <c r="E29" s="4">
        <f t="shared" si="1"/>
        <v>2.6938283737243238</v>
      </c>
      <c r="F29" s="4" cm="1">
        <f t="array" ref="F29">(Bscall_delta($B$1,$B$2,A29+0.0001,$B$4,$B$5)-D29)/0.0001</f>
        <v>7.8172265192966162E-3</v>
      </c>
      <c r="G29" s="4">
        <f t="shared" si="2"/>
        <v>19.543066298241541</v>
      </c>
      <c r="H29" s="4" cm="1">
        <f t="array" ref="H29">(BScall($B$1,$B$2,A29,$B$4+0.0001,$B$5)-B29)/0.0001</f>
        <v>7.6664138325122089</v>
      </c>
      <c r="I29" s="4" cm="1">
        <f t="array" ref="I29">(BScall($B$1-0.0001,$B$2,A29,$B$4,$B$5)-B29)/0.0001</f>
        <v>-0.81816156343839097</v>
      </c>
      <c r="J29" s="4">
        <f t="shared" si="3"/>
        <v>8.1816156343839097</v>
      </c>
    </row>
    <row r="30" spans="1:10" x14ac:dyDescent="0.3">
      <c r="A30" s="4">
        <v>71</v>
      </c>
      <c r="B30" s="4" cm="1">
        <f t="array" ref="B30">BScall($B$1,$B$2,A30,$B$4,$B$5)</f>
        <v>0.35438337522443664</v>
      </c>
      <c r="C30" s="4">
        <f t="shared" si="0"/>
        <v>-27.511193960306258</v>
      </c>
      <c r="D30" s="4" cm="1">
        <f t="array" ref="D30">Bscall_delta($B$1,$B$2,A30,$B$4,$B$5)</f>
        <v>6.2091386116395149E-2</v>
      </c>
      <c r="E30" s="4">
        <f t="shared" si="1"/>
        <v>3.1045693058197577</v>
      </c>
      <c r="F30" s="4" cm="1">
        <f t="array" ref="F30">(Bscall_delta($B$1,$B$2,A30+0.0001,$B$4,$B$5)-D30)/0.0001</f>
        <v>8.6166886572452972E-3</v>
      </c>
      <c r="G30" s="4">
        <f t="shared" si="2"/>
        <v>21.541721643113242</v>
      </c>
      <c r="H30" s="4" cm="1">
        <f t="array" ref="H30">(BScall($B$1,$B$2,A30,$B$4+0.0001,$B$5)-B30)/0.0001</f>
        <v>8.6931057443678785</v>
      </c>
      <c r="I30" s="4" cm="1">
        <f t="array" ref="I30">(BScall($B$1-0.0001,$B$2,A30,$B$4,$B$5)-B30)/0.0001</f>
        <v>-0.92949527570829193</v>
      </c>
      <c r="J30" s="4">
        <f t="shared" si="3"/>
        <v>9.2949527570829193</v>
      </c>
    </row>
    <row r="31" spans="1:10" x14ac:dyDescent="0.3">
      <c r="A31" s="4">
        <v>72</v>
      </c>
      <c r="B31" s="4" cm="1">
        <f t="array" ref="B31">BScall($B$1,$B$2,A31,$B$4,$B$5)</f>
        <v>0.42091922539524856</v>
      </c>
      <c r="C31" s="4">
        <f t="shared" si="0"/>
        <v>-26.511193960306258</v>
      </c>
      <c r="D31" s="4" cm="1">
        <f t="array" ref="D31">Bscall_delta($B$1,$B$2,A31,$B$4,$B$5)</f>
        <v>7.1117280835496011E-2</v>
      </c>
      <c r="E31" s="4">
        <f t="shared" si="1"/>
        <v>3.5558640417748006</v>
      </c>
      <c r="F31" s="4" cm="1">
        <f t="array" ref="F31">(Bscall_delta($B$1,$B$2,A31+0.0001,$B$4,$B$5)-D31)/0.0001</f>
        <v>9.4383858370572504E-3</v>
      </c>
      <c r="G31" s="4">
        <f t="shared" si="2"/>
        <v>23.595964592643128</v>
      </c>
      <c r="H31" s="4" cm="1">
        <f t="array" ref="H31">(BScall($B$1,$B$2,A31,$B$4+0.0001,$B$5)-B31)/0.0001</f>
        <v>9.7916614798598811</v>
      </c>
      <c r="I31" s="4" cm="1">
        <f t="array" ref="I31">(BScall($B$1-0.0001,$B$2,A31,$B$4,$B$5)-B31)/0.0001</f>
        <v>-1.0490137385527065</v>
      </c>
      <c r="J31" s="4">
        <f t="shared" si="3"/>
        <v>10.490137385527065</v>
      </c>
    </row>
    <row r="32" spans="1:10" x14ac:dyDescent="0.3">
      <c r="A32" s="4">
        <v>73</v>
      </c>
      <c r="B32" s="4" cm="1">
        <f t="array" ref="B32">BScall($B$1,$B$2,A32,$B$4,$B$5)</f>
        <v>0.49689475815066891</v>
      </c>
      <c r="C32" s="4">
        <f t="shared" si="0"/>
        <v>-25.511193960306258</v>
      </c>
      <c r="D32" s="4" cm="1">
        <f t="array" ref="D32">Bscall_delta($B$1,$B$2,A32,$B$4,$B$5)</f>
        <v>8.097342574746591E-2</v>
      </c>
      <c r="E32" s="4">
        <f t="shared" si="1"/>
        <v>4.0486712873732955</v>
      </c>
      <c r="F32" s="4" cm="1">
        <f t="array" ref="F32">(Bscall_delta($B$1,$B$2,A32+0.0001,$B$4,$B$5)-D32)/0.0001</f>
        <v>1.027612313506121E-2</v>
      </c>
      <c r="G32" s="4">
        <f t="shared" si="2"/>
        <v>25.690307837653027</v>
      </c>
      <c r="H32" s="4" cm="1">
        <f t="array" ref="H32">(BScall($B$1,$B$2,A32,$B$4+0.0001,$B$5)-B32)/0.0001</f>
        <v>10.958367668003065</v>
      </c>
      <c r="I32" s="4" cm="1">
        <f t="array" ref="I32">(BScall($B$1-0.0001,$B$2,A32,$B$4,$B$5)-B32)/0.0001</f>
        <v>-1.1763913089579692</v>
      </c>
      <c r="J32" s="4">
        <f t="shared" si="3"/>
        <v>11.763913089579692</v>
      </c>
    </row>
    <row r="33" spans="1:10" x14ac:dyDescent="0.3">
      <c r="A33" s="4">
        <v>74</v>
      </c>
      <c r="B33" s="4" cm="1">
        <f t="array" ref="B33">BScall($B$1,$B$2,A33,$B$4,$B$5)</f>
        <v>0.58314716182285142</v>
      </c>
      <c r="C33" s="4">
        <f t="shared" si="0"/>
        <v>-24.511193960306258</v>
      </c>
      <c r="D33" s="4" cm="1">
        <f t="array" ref="D33">Bscall_delta($B$1,$B$2,A33,$B$4,$B$5)</f>
        <v>9.1672601119295344E-2</v>
      </c>
      <c r="E33" s="4">
        <f t="shared" si="1"/>
        <v>4.5836300559647674</v>
      </c>
      <c r="F33" s="4" cm="1">
        <f t="array" ref="F33">(Bscall_delta($B$1,$B$2,A33+0.0001,$B$4,$B$5)-D33)/0.0001</f>
        <v>1.1123326383588594E-2</v>
      </c>
      <c r="G33" s="4">
        <f t="shared" si="2"/>
        <v>27.808315958971484</v>
      </c>
      <c r="H33" s="4" cm="1">
        <f t="array" ref="H33">(BScall($B$1,$B$2,A33,$B$4+0.0001,$B$5)-B33)/0.0001</f>
        <v>12.188421488089629</v>
      </c>
      <c r="I33" s="4" cm="1">
        <f t="array" ref="I33">(BScall($B$1-0.0001,$B$2,A33,$B$4,$B$5)-B33)/0.0001</f>
        <v>-1.3111870933502079</v>
      </c>
      <c r="J33" s="4">
        <f t="shared" si="3"/>
        <v>13.111870933502079</v>
      </c>
    </row>
    <row r="34" spans="1:10" x14ac:dyDescent="0.3">
      <c r="A34" s="4">
        <v>75</v>
      </c>
      <c r="B34" s="4" cm="1">
        <f t="array" ref="B34">BScall($B$1,$B$2,A34,$B$4,$B$5)</f>
        <v>0.68052306897048198</v>
      </c>
      <c r="C34" s="4">
        <f t="shared" si="0"/>
        <v>-23.511193960306258</v>
      </c>
      <c r="D34" s="4" cm="1">
        <f t="array" ref="D34">Bscall_delta($B$1,$B$2,A34,$B$4,$B$5)</f>
        <v>0.10322087103751364</v>
      </c>
      <c r="E34" s="4">
        <f t="shared" si="1"/>
        <v>5.1610435518756814</v>
      </c>
      <c r="F34" s="4" cm="1">
        <f t="array" ref="F34">(Bscall_delta($B$1,$B$2,A34+0.0001,$B$4,$B$5)-D34)/0.0001</f>
        <v>1.1973156882200131E-2</v>
      </c>
      <c r="G34" s="4">
        <f t="shared" si="2"/>
        <v>29.932892205500327</v>
      </c>
      <c r="H34" s="4" cm="1">
        <f t="array" ref="H34">(BScall($B$1,$B$2,A34,$B$4+0.0001,$B$5)-B34)/0.0001</f>
        <v>13.475978544890133</v>
      </c>
      <c r="I34" s="4" cm="1">
        <f t="array" ref="I34">(BScall($B$1-0.0001,$B$2,A34,$B$4,$B$5)-B34)/0.0001</f>
        <v>-1.4528489780740728</v>
      </c>
      <c r="J34" s="4">
        <f t="shared" si="3"/>
        <v>14.528489780740728</v>
      </c>
    </row>
    <row r="35" spans="1:10" x14ac:dyDescent="0.3">
      <c r="A35" s="4">
        <v>76</v>
      </c>
      <c r="B35" s="4" cm="1">
        <f t="array" ref="B35">BScall($B$1,$B$2,A35,$B$4,$B$5)</f>
        <v>0.78987172756323809</v>
      </c>
      <c r="C35" s="4">
        <f t="shared" si="0"/>
        <v>-22.511193960306258</v>
      </c>
      <c r="D35" s="4" cm="1">
        <f t="array" ref="D35">Bscall_delta($B$1,$B$2,A35,$B$4,$B$5)</f>
        <v>0.11561737786681266</v>
      </c>
      <c r="E35" s="4">
        <f t="shared" si="1"/>
        <v>5.7808688933406325</v>
      </c>
      <c r="F35" s="4" cm="1">
        <f t="array" ref="F35">(Bscall_delta($B$1,$B$2,A35+0.0001,$B$4,$B$5)-D35)/0.0001</f>
        <v>1.2818629719496544E-2</v>
      </c>
      <c r="G35" s="4">
        <f t="shared" si="2"/>
        <v>32.046574298741362</v>
      </c>
      <c r="H35" s="4" cm="1">
        <f t="array" ref="H35">(BScall($B$1,$B$2,A35,$B$4+0.0001,$B$5)-B35)/0.0001</f>
        <v>14.814223384626013</v>
      </c>
      <c r="I35" s="4" cm="1">
        <f t="array" ref="I35">(BScall($B$1-0.0001,$B$2,A35,$B$4,$B$5)-B35)/0.0001</f>
        <v>-1.6007200377565756</v>
      </c>
      <c r="J35" s="4">
        <f t="shared" si="3"/>
        <v>16.007200377565756</v>
      </c>
    </row>
    <row r="36" spans="1:10" x14ac:dyDescent="0.3">
      <c r="A36" s="4">
        <v>77</v>
      </c>
      <c r="B36" s="4" cm="1">
        <f t="array" ref="B36">BScall($B$1,$B$2,A36,$B$4,$B$5)</f>
        <v>0.91203802597694295</v>
      </c>
      <c r="C36" s="4">
        <f t="shared" si="0"/>
        <v>-21.511193960306258</v>
      </c>
      <c r="D36" s="4" cm="1">
        <f t="array" ref="D36">Bscall_delta($B$1,$B$2,A36,$B$4,$B$5)</f>
        <v>0.12885425547277993</v>
      </c>
      <c r="E36" s="4">
        <f t="shared" si="1"/>
        <v>6.4427127736389966</v>
      </c>
      <c r="F36" s="4" cm="1">
        <f t="array" ref="F36">(Bscall_delta($B$1,$B$2,A36+0.0001,$B$4,$B$5)-D36)/0.0001</f>
        <v>1.3652732452074101E-2</v>
      </c>
      <c r="G36" s="4">
        <f t="shared" si="2"/>
        <v>34.131831130185255</v>
      </c>
      <c r="H36" s="4" cm="1">
        <f t="array" ref="H36">(BScall($B$1,$B$2,A36,$B$4+0.0001,$B$5)-B36)/0.0001</f>
        <v>16.19546053766685</v>
      </c>
      <c r="I36" s="4" cm="1">
        <f t="array" ref="I36">(BScall($B$1-0.0001,$B$2,A36,$B$4,$B$5)-B36)/0.0001</f>
        <v>-1.7540471201171748</v>
      </c>
      <c r="J36" s="4">
        <f t="shared" si="3"/>
        <v>17.540471201171748</v>
      </c>
    </row>
    <row r="37" spans="1:10" x14ac:dyDescent="0.3">
      <c r="A37" s="4">
        <v>78</v>
      </c>
      <c r="B37" s="4" cm="1">
        <f t="array" ref="B37">BScall($B$1,$B$2,A37,$B$4,$B$5)</f>
        <v>1.0478554902252961</v>
      </c>
      <c r="C37" s="4">
        <f t="shared" si="0"/>
        <v>-20.511193960306258</v>
      </c>
      <c r="D37" s="4" cm="1">
        <f t="array" ref="D37">Bscall_delta($B$1,$B$2,A37,$B$4,$B$5)</f>
        <v>0.1429166600222444</v>
      </c>
      <c r="E37" s="4">
        <f t="shared" si="1"/>
        <v>7.1458330011122202</v>
      </c>
      <c r="F37" s="4" cm="1">
        <f t="array" ref="F37">(Bscall_delta($B$1,$B$2,A37+0.0001,$B$4,$B$5)-D37)/0.0001</f>
        <v>1.4468541090495446E-2</v>
      </c>
      <c r="G37" s="4">
        <f t="shared" si="2"/>
        <v>36.171352726238617</v>
      </c>
      <c r="H37" s="4" cm="1">
        <f t="array" ref="H37">(BScall($B$1,$B$2,A37,$B$4+0.0001,$B$5)-B37)/0.0001</f>
        <v>17.611223439457646</v>
      </c>
      <c r="I37" s="4" cm="1">
        <f t="array" ref="I37">(BScall($B$1-0.0001,$B$2,A37,$B$4,$B$5)-B37)/0.0001</f>
        <v>-1.9119913539156208</v>
      </c>
      <c r="J37" s="4">
        <f t="shared" si="3"/>
        <v>19.119913539156208</v>
      </c>
    </row>
    <row r="38" spans="1:10" x14ac:dyDescent="0.3">
      <c r="A38" s="4">
        <v>79</v>
      </c>
      <c r="B38" s="4" cm="1">
        <f t="array" ref="B38">BScall($B$1,$B$2,A38,$B$4,$B$5)</f>
        <v>1.1981393691822406</v>
      </c>
      <c r="C38" s="4">
        <f t="shared" si="0"/>
        <v>-19.511193960306258</v>
      </c>
      <c r="D38" s="4" cm="1">
        <f t="array" ref="D38">Bscall_delta($B$1,$B$2,A38,$B$4,$B$5)</f>
        <v>0.15778291425119303</v>
      </c>
      <c r="E38" s="4">
        <f t="shared" si="1"/>
        <v>7.8891457125596514</v>
      </c>
      <c r="F38" s="4" cm="1">
        <f t="array" ref="F38">(Bscall_delta($B$1,$B$2,A38+0.0001,$B$4,$B$5)-D38)/0.0001</f>
        <v>1.5259330608807797E-2</v>
      </c>
      <c r="G38" s="4">
        <f t="shared" si="2"/>
        <v>38.148326522019495</v>
      </c>
      <c r="H38" s="4" cm="1">
        <f t="array" ref="H38">(BScall($B$1,$B$2,A38,$B$4+0.0001,$B$5)-B38)/0.0001</f>
        <v>19.052398170298357</v>
      </c>
      <c r="I38" s="4" cm="1">
        <f t="array" ref="I38">(BScall($B$1-0.0001,$B$2,A38,$B$4,$B$5)-B38)/0.0001</f>
        <v>-2.0736402793053443</v>
      </c>
      <c r="J38" s="4">
        <f t="shared" si="3"/>
        <v>20.736402793053443</v>
      </c>
    </row>
    <row r="39" spans="1:10" x14ac:dyDescent="0.3">
      <c r="A39" s="4">
        <v>80</v>
      </c>
      <c r="B39" s="4" cm="1">
        <f t="array" ref="B39">BScall($B$1,$B$2,A39,$B$4,$B$5)</f>
        <v>1.3636799181063297</v>
      </c>
      <c r="C39" s="4">
        <f t="shared" si="0"/>
        <v>-18.511193960306258</v>
      </c>
      <c r="D39" s="4" cm="1">
        <f t="array" ref="D39">Bscall_delta($B$1,$B$2,A39,$B$4,$B$5)</f>
        <v>0.17342475848351016</v>
      </c>
      <c r="E39" s="4">
        <f t="shared" si="1"/>
        <v>8.6712379241755073</v>
      </c>
      <c r="F39" s="4" cm="1">
        <f t="array" ref="F39">(Bscall_delta($B$1,$B$2,A39+0.0001,$B$4,$B$5)-D39)/0.0001</f>
        <v>1.6018677569673567E-2</v>
      </c>
      <c r="G39" s="4">
        <f t="shared" si="2"/>
        <v>40.04669392418392</v>
      </c>
      <c r="H39" s="4" cm="1">
        <f t="array" ref="H39">(BScall($B$1,$B$2,A39,$B$4+0.0001,$B$5)-B39)/0.0001</f>
        <v>20.509358666880306</v>
      </c>
      <c r="I39" s="4" cm="1">
        <f t="array" ref="I39">(BScall($B$1-0.0001,$B$2,A39,$B$4,$B$5)-B39)/0.0001</f>
        <v>-2.2380212657968634</v>
      </c>
      <c r="J39" s="4">
        <f t="shared" si="3"/>
        <v>22.380212657968634</v>
      </c>
    </row>
    <row r="40" spans="1:10" x14ac:dyDescent="0.3">
      <c r="A40" s="4">
        <v>81</v>
      </c>
      <c r="B40" s="4" cm="1">
        <f t="array" ref="B40">BScall($B$1,$B$2,A40,$B$4,$B$5)</f>
        <v>1.5452359829136488</v>
      </c>
      <c r="C40" s="4">
        <f t="shared" si="0"/>
        <v>-17.511193960306258</v>
      </c>
      <c r="D40" s="4" cm="1">
        <f t="array" ref="D40">Bscall_delta($B$1,$B$2,A40,$B$4,$B$5)</f>
        <v>0.18980769945372383</v>
      </c>
      <c r="E40" s="4">
        <f t="shared" si="1"/>
        <v>9.4903849726861917</v>
      </c>
      <c r="F40" s="4" cm="1">
        <f t="array" ref="F40">(Bscall_delta($B$1,$B$2,A40+0.0001,$B$4,$B$5)-D40)/0.0001</f>
        <v>1.6740552803151676E-2</v>
      </c>
      <c r="G40" s="4">
        <f t="shared" si="2"/>
        <v>41.851382007879188</v>
      </c>
      <c r="H40" s="4" cm="1">
        <f t="array" ref="H40">(BScall($B$1,$B$2,A40,$B$4+0.0001,$B$5)-B40)/0.0001</f>
        <v>21.972109897523406</v>
      </c>
      <c r="I40" s="4" cm="1">
        <f t="array" ref="I40">(BScall($B$1-0.0001,$B$2,A40,$B$4,$B$5)-B40)/0.0001</f>
        <v>-2.4041158692678088</v>
      </c>
      <c r="J40" s="4">
        <f t="shared" si="3"/>
        <v>24.041158692678088</v>
      </c>
    </row>
    <row r="41" spans="1:10" x14ac:dyDescent="0.3">
      <c r="A41" s="4">
        <v>82</v>
      </c>
      <c r="B41" s="4" cm="1">
        <f t="array" ref="B41">BScall($B$1,$B$2,A41,$B$4,$B$5)</f>
        <v>1.7435289777558851</v>
      </c>
      <c r="C41" s="4">
        <f t="shared" si="0"/>
        <v>-16.511193960306258</v>
      </c>
      <c r="D41" s="4" cm="1">
        <f t="array" ref="D41">Bscall_delta($B$1,$B$2,A41,$B$4,$B$5)</f>
        <v>0.20689144617281754</v>
      </c>
      <c r="E41" s="4">
        <f t="shared" si="1"/>
        <v>10.344572308640878</v>
      </c>
      <c r="F41" s="4" cm="1">
        <f t="array" ref="F41">(Bscall_delta($B$1,$B$2,A41+0.0001,$B$4,$B$5)-D41)/0.0001</f>
        <v>1.7419402579266219E-2</v>
      </c>
      <c r="G41" s="4">
        <f t="shared" si="2"/>
        <v>43.548506448165547</v>
      </c>
      <c r="H41" s="4" cm="1">
        <f t="array" ref="H41">(BScall($B$1,$B$2,A41,$B$4+0.0001,$B$5)-B41)/0.0001</f>
        <v>23.430435453313248</v>
      </c>
      <c r="I41" s="4" cm="1">
        <f t="array" ref="I41">(BScall($B$1-0.0001,$B$2,A41,$B$4,$B$5)-B41)/0.0001</f>
        <v>-2.570874763829778</v>
      </c>
      <c r="J41" s="4">
        <f t="shared" si="3"/>
        <v>25.70874763829778</v>
      </c>
    </row>
    <row r="42" spans="1:10" x14ac:dyDescent="0.3">
      <c r="A42" s="4">
        <v>83</v>
      </c>
      <c r="B42" s="4" cm="1">
        <f t="array" ref="B42">BScall($B$1,$B$2,A42,$B$4,$B$5)</f>
        <v>1.959237336973513</v>
      </c>
      <c r="C42" s="4">
        <f t="shared" si="0"/>
        <v>-15.511193960306258</v>
      </c>
      <c r="D42" s="4" cm="1">
        <f t="array" ref="D42">Bscall_delta($B$1,$B$2,A42,$B$4,$B$5)</f>
        <v>0.22463042069779993</v>
      </c>
      <c r="E42" s="4">
        <f t="shared" si="1"/>
        <v>11.231521034889996</v>
      </c>
      <c r="F42" s="4" cm="1">
        <f t="array" ref="F42">(Bscall_delta($B$1,$B$2,A42+0.0001,$B$4,$B$5)-D42)/0.0001</f>
        <v>1.8050217085729958E-2</v>
      </c>
      <c r="G42" s="4">
        <f t="shared" si="2"/>
        <v>45.125542714324894</v>
      </c>
      <c r="H42" s="4" cm="1">
        <f t="array" ref="H42">(BScall($B$1,$B$2,A42,$B$4+0.0001,$B$5)-B42)/0.0001</f>
        <v>24.874046083169787</v>
      </c>
      <c r="I42" s="4" cm="1">
        <f t="array" ref="I42">(BScall($B$1-0.0001,$B$2,A42,$B$4,$B$5)-B42)/0.0001</f>
        <v>-2.7372328974850646</v>
      </c>
      <c r="J42" s="4">
        <f t="shared" si="3"/>
        <v>27.372328974850646</v>
      </c>
    </row>
    <row r="43" spans="1:10" x14ac:dyDescent="0.3">
      <c r="A43" s="4">
        <v>84</v>
      </c>
      <c r="B43" s="4" cm="1">
        <f t="array" ref="B43">BScall($B$1,$B$2,A43,$B$4,$B$5)</f>
        <v>2.1929915098482757</v>
      </c>
      <c r="C43" s="4">
        <f t="shared" si="0"/>
        <v>-14.511193960306258</v>
      </c>
      <c r="D43" s="4" cm="1">
        <f t="array" ref="D43">Bscall_delta($B$1,$B$2,A43,$B$4,$B$5)</f>
        <v>0.24297433072501101</v>
      </c>
      <c r="E43" s="4">
        <f t="shared" si="1"/>
        <v>12.14871653625055</v>
      </c>
      <c r="F43" s="4" cm="1">
        <f t="array" ref="F43">(Bscall_delta($B$1,$B$2,A43+0.0001,$B$4,$B$5)-D43)/0.0001</f>
        <v>1.8628585513047469E-2</v>
      </c>
      <c r="G43" s="4">
        <f t="shared" si="2"/>
        <v>46.571463782618672</v>
      </c>
      <c r="H43" s="4" cm="1">
        <f t="array" ref="H43">(BScall($B$1,$B$2,A43,$B$4+0.0001,$B$5)-B43)/0.0001</f>
        <v>26.292725868826139</v>
      </c>
      <c r="I43" s="4" cm="1">
        <f t="array" ref="I43">(BScall($B$1-0.0001,$B$2,A43,$B$4,$B$5)-B43)/0.0001</f>
        <v>-2.9021245283011865</v>
      </c>
      <c r="J43" s="4">
        <f t="shared" si="3"/>
        <v>29.021245283011865</v>
      </c>
    </row>
    <row r="44" spans="1:10" x14ac:dyDescent="0.3">
      <c r="A44" s="4">
        <v>85</v>
      </c>
      <c r="B44" s="4" cm="1">
        <f t="array" ref="B44">BScall($B$1,$B$2,A44,$B$4,$B$5)</f>
        <v>2.4453695532062887</v>
      </c>
      <c r="C44" s="4">
        <f t="shared" si="0"/>
        <v>-13.511193960306258</v>
      </c>
      <c r="D44" s="4" cm="1">
        <f t="array" ref="D44">Bscall_delta($B$1,$B$2,A44,$B$4,$B$5)</f>
        <v>0.26186879041038624</v>
      </c>
      <c r="E44" s="4">
        <f t="shared" si="1"/>
        <v>13.093439520519311</v>
      </c>
      <c r="F44" s="4" cm="1">
        <f t="array" ref="F44">(Bscall_delta($B$1,$B$2,A44+0.0001,$B$4,$B$5)-D44)/0.0001</f>
        <v>1.9150737401996132E-2</v>
      </c>
      <c r="G44" s="4">
        <f t="shared" si="2"/>
        <v>47.876843504990333</v>
      </c>
      <c r="H44" s="4" cm="1">
        <f t="array" ref="H44">(BScall($B$1,$B$2,A44,$B$4+0.0001,$B$5)-B44)/0.0001</f>
        <v>27.676472999069723</v>
      </c>
      <c r="I44" s="4" cm="1">
        <f t="array" ref="I44">(BScall($B$1-0.0001,$B$2,A44,$B$4,$B$5)-B44)/0.0001</f>
        <v>-3.0644978253535626</v>
      </c>
      <c r="J44" s="4">
        <f t="shared" si="3"/>
        <v>30.644978253535626</v>
      </c>
    </row>
    <row r="45" spans="1:10" x14ac:dyDescent="0.3">
      <c r="A45" s="4">
        <v>86</v>
      </c>
      <c r="B45" s="4" cm="1">
        <f t="array" ref="B45">BScall($B$1,$B$2,A45,$B$4,$B$5)</f>
        <v>2.7168933632349375</v>
      </c>
      <c r="C45" s="4">
        <f t="shared" si="0"/>
        <v>-12.511193960306258</v>
      </c>
      <c r="D45" s="4" cm="1">
        <f t="array" ref="D45">Bscall_delta($B$1,$B$2,A45,$B$4,$B$5)</f>
        <v>0.28125597570027194</v>
      </c>
      <c r="E45" s="4">
        <f t="shared" si="1"/>
        <v>14.062798785013598</v>
      </c>
      <c r="F45" s="4" cm="1">
        <f t="array" ref="F45">(Bscall_delta($B$1,$B$2,A45+0.0001,$B$4,$B$5)-D45)/0.0001</f>
        <v>1.9613570354515275E-2</v>
      </c>
      <c r="G45" s="4">
        <f t="shared" si="2"/>
        <v>49.033925886288188</v>
      </c>
      <c r="H45" s="4" cm="1">
        <f t="array" ref="H45">(BScall($B$1,$B$2,A45,$B$4+0.0001,$B$5)-B45)/0.0001</f>
        <v>29.015632425481996</v>
      </c>
      <c r="I45" s="4" cm="1">
        <f t="array" ref="I45">(BScall($B$1-0.0001,$B$2,A45,$B$4,$B$5)-B45)/0.0001</f>
        <v>-3.2233287510363695</v>
      </c>
      <c r="J45" s="4">
        <f t="shared" si="3"/>
        <v>32.233287510363695</v>
      </c>
    </row>
    <row r="46" spans="1:10" x14ac:dyDescent="0.3">
      <c r="A46" s="4">
        <v>87</v>
      </c>
      <c r="B46" s="4" cm="1">
        <f t="array" ref="B46">BScall($B$1,$B$2,A46,$B$4,$B$5)</f>
        <v>3.0080255742520707</v>
      </c>
      <c r="C46" s="4">
        <f t="shared" si="0"/>
        <v>-11.511193960306258</v>
      </c>
      <c r="D46" s="4" cm="1">
        <f t="array" ref="D46">Bscall_delta($B$1,$B$2,A46,$B$4,$B$5)</f>
        <v>0.30107530069682803</v>
      </c>
      <c r="E46" s="4">
        <f t="shared" si="1"/>
        <v>15.053765034841401</v>
      </c>
      <c r="F46" s="4" cm="1">
        <f t="array" ref="F46">(Bscall_delta($B$1,$B$2,A46+0.0001,$B$4,$B$5)-D46)/0.0001</f>
        <v>2.0014664489087508E-2</v>
      </c>
      <c r="G46" s="4">
        <f t="shared" si="2"/>
        <v>50.03666122271877</v>
      </c>
      <c r="H46" s="4" cm="1">
        <f t="array" ref="H46">(BScall($B$1,$B$2,A46,$B$4+0.0001,$B$5)-B46)/0.0001</f>
        <v>30.301018061758</v>
      </c>
      <c r="I46" s="4" cm="1">
        <f t="array" ref="I46">(BScall($B$1-0.0001,$B$2,A46,$B$4,$B$5)-B46)/0.0001</f>
        <v>-3.3776339703850411</v>
      </c>
      <c r="J46" s="4">
        <f t="shared" si="3"/>
        <v>33.776339703850411</v>
      </c>
    </row>
    <row r="47" spans="1:10" x14ac:dyDescent="0.3">
      <c r="A47" s="4">
        <v>88</v>
      </c>
      <c r="B47" s="4" cm="1">
        <f t="array" ref="B47">BScall($B$1,$B$2,A47,$B$4,$B$5)</f>
        <v>3.3191671389440596</v>
      </c>
      <c r="C47" s="4">
        <f t="shared" si="0"/>
        <v>-10.511193960306258</v>
      </c>
      <c r="D47" s="4" cm="1">
        <f t="array" ref="D47">Bscall_delta($B$1,$B$2,A47,$B$4,$B$5)</f>
        <v>0.32126410213792295</v>
      </c>
      <c r="E47" s="4">
        <f t="shared" si="1"/>
        <v>16.063205106896149</v>
      </c>
      <c r="F47" s="4" cm="1">
        <f t="array" ref="F47">(Bscall_delta($B$1,$B$2,A47+0.0001,$B$4,$B$5)-D47)/0.0001</f>
        <v>2.0352284344493654E-2</v>
      </c>
      <c r="G47" s="4">
        <f t="shared" si="2"/>
        <v>50.880710861234135</v>
      </c>
      <c r="H47" s="4" cm="1">
        <f t="array" ref="H47">(BScall($B$1,$B$2,A47,$B$4+0.0001,$B$5)-B47)/0.0001</f>
        <v>31.524022597211321</v>
      </c>
      <c r="I47" s="4" cm="1">
        <f t="array" ref="I47">(BScall($B$1-0.0001,$B$2,A47,$B$4,$B$5)-B47)/0.0001</f>
        <v>-3.5264825862046933</v>
      </c>
      <c r="J47" s="4">
        <f t="shared" si="3"/>
        <v>35.264825862046933</v>
      </c>
    </row>
    <row r="48" spans="1:10" x14ac:dyDescent="0.3">
      <c r="A48" s="4">
        <v>89</v>
      </c>
      <c r="B48" s="4" cm="1">
        <f t="array" ref="B48">BScall($B$1,$B$2,A48,$B$4,$B$5)</f>
        <v>3.6506555920596484</v>
      </c>
      <c r="C48" s="4">
        <f t="shared" si="0"/>
        <v>-9.5111939603062581</v>
      </c>
      <c r="D48" s="4" cm="1">
        <f t="array" ref="D48">Bscall_delta($B$1,$B$2,A48,$B$4,$B$5)</f>
        <v>0.34175831989325089</v>
      </c>
      <c r="E48" s="4">
        <f t="shared" si="1"/>
        <v>17.087915994662545</v>
      </c>
      <c r="F48" s="4" cm="1">
        <f t="array" ref="F48">(Bscall_delta($B$1,$B$2,A48+0.0001,$B$4,$B$5)-D48)/0.0001</f>
        <v>2.0625369184790188E-2</v>
      </c>
      <c r="G48" s="4">
        <f t="shared" si="2"/>
        <v>51.563422961975469</v>
      </c>
      <c r="H48" s="4" cm="1">
        <f t="array" ref="H48">(BScall($B$1,$B$2,A48,$B$4+0.0001,$B$5)-B48)/0.0001</f>
        <v>32.676713427033377</v>
      </c>
      <c r="I48" s="4" cm="1">
        <f t="array" ref="I48">(BScall($B$1-0.0001,$B$2,A48,$B$4,$B$5)-B48)/0.0001</f>
        <v>-3.669006528030927</v>
      </c>
      <c r="J48" s="4">
        <f t="shared" si="3"/>
        <v>36.69006528030927</v>
      </c>
    </row>
    <row r="49" spans="1:10" x14ac:dyDescent="0.3">
      <c r="A49" s="4">
        <v>90</v>
      </c>
      <c r="B49" s="4" cm="1">
        <f t="array" ref="B49">BScall($B$1,$B$2,A49,$B$4,$B$5)</f>
        <v>4.0027639879510177</v>
      </c>
      <c r="C49" s="4">
        <f t="shared" si="0"/>
        <v>-8.5111939603062581</v>
      </c>
      <c r="D49" s="4" cm="1">
        <f t="array" ref="D49">Bscall_delta($B$1,$B$2,A49,$B$4,$B$5)</f>
        <v>0.3624931624143114</v>
      </c>
      <c r="E49" s="4">
        <f t="shared" si="1"/>
        <v>18.124658120715569</v>
      </c>
      <c r="F49" s="4" cm="1">
        <f t="array" ref="F49">(Bscall_delta($B$1,$B$2,A49+0.0001,$B$4,$B$5)-D49)/0.0001</f>
        <v>2.083351280213197E-2</v>
      </c>
      <c r="G49" s="4">
        <f t="shared" si="2"/>
        <v>52.083782005329923</v>
      </c>
      <c r="H49" s="4" cm="1">
        <f t="array" ref="H49">(BScall($B$1,$B$2,A49,$B$4+0.0001,$B$5)-B49)/0.0001</f>
        <v>33.751913632800168</v>
      </c>
      <c r="I49" s="4" cm="1">
        <f t="array" ref="I49">(BScall($B$1-0.0001,$B$2,A49,$B$4,$B$5)-B49)/0.0001</f>
        <v>-3.8044094765421477</v>
      </c>
      <c r="J49" s="4">
        <f t="shared" si="3"/>
        <v>38.044094765421477</v>
      </c>
    </row>
    <row r="50" spans="1:10" x14ac:dyDescent="0.3">
      <c r="A50" s="4">
        <v>91</v>
      </c>
      <c r="B50" s="4" cm="1">
        <f t="array" ref="B50">BScall($B$1,$B$2,A50,$B$4,$B$5)</f>
        <v>4.3757004918781854</v>
      </c>
      <c r="C50" s="4">
        <f t="shared" si="0"/>
        <v>-7.5111939603062581</v>
      </c>
      <c r="D50" s="4" cm="1">
        <f t="array" ref="D50">Bscall_delta($B$1,$B$2,A50,$B$4,$B$5)</f>
        <v>0.38340374727377491</v>
      </c>
      <c r="E50" s="4">
        <f t="shared" si="1"/>
        <v>19.170187363688747</v>
      </c>
      <c r="F50" s="4" cm="1">
        <f t="array" ref="F50">(Bscall_delta($B$1,$B$2,A50+0.0001,$B$4,$B$5)-D50)/0.0001</f>
        <v>2.097693410751944E-2</v>
      </c>
      <c r="G50" s="4">
        <f t="shared" si="2"/>
        <v>52.442335268798601</v>
      </c>
      <c r="H50" s="4" cm="1">
        <f t="array" ref="H50">(BScall($B$1,$B$2,A50,$B$4+0.0001,$B$5)-B50)/0.0001</f>
        <v>34.743267366206254</v>
      </c>
      <c r="I50" s="4" cm="1">
        <f t="array" ref="I50">(BScall($B$1-0.0001,$B$2,A50,$B$4,$B$5)-B50)/0.0001</f>
        <v>-3.9319742422705417</v>
      </c>
      <c r="J50" s="4">
        <f t="shared" si="3"/>
        <v>39.319742422705417</v>
      </c>
    </row>
    <row r="51" spans="1:10" x14ac:dyDescent="0.3">
      <c r="A51" s="4">
        <v>92</v>
      </c>
      <c r="B51" s="4" cm="1">
        <f t="array" ref="B51">BScall($B$1,$B$2,A51,$B$4,$B$5)</f>
        <v>4.7696085957763703</v>
      </c>
      <c r="C51" s="4">
        <f t="shared" si="0"/>
        <v>-6.5111939603062581</v>
      </c>
      <c r="D51" s="4" cm="1">
        <f t="array" ref="D51">Bscall_delta($B$1,$B$2,A51,$B$4,$B$5)</f>
        <v>0.40442570823913809</v>
      </c>
      <c r="E51" s="4">
        <f t="shared" si="1"/>
        <v>20.221285411956906</v>
      </c>
      <c r="F51" s="4" cm="1">
        <f t="array" ref="F51">(Bscall_delta($B$1,$B$2,A51+0.0001,$B$4,$B$5)-D51)/0.0001</f>
        <v>2.1056439840627661E-2</v>
      </c>
      <c r="G51" s="4">
        <f t="shared" si="2"/>
        <v>52.641099601569152</v>
      </c>
      <c r="H51" s="4" cm="1">
        <f t="array" ref="H51">(BScall($B$1,$B$2,A51,$B$4+0.0001,$B$5)-B51)/0.0001</f>
        <v>35.645289388916979</v>
      </c>
      <c r="I51" s="4" cm="1">
        <f t="array" ref="I51">(BScall($B$1-0.0001,$B$2,A51,$B$4,$B$5)-B51)/0.0001</f>
        <v>-4.0510685592209938</v>
      </c>
      <c r="J51" s="4">
        <f t="shared" si="3"/>
        <v>40.510685592209938</v>
      </c>
    </row>
    <row r="52" spans="1:10" x14ac:dyDescent="0.3">
      <c r="A52" s="4">
        <v>93</v>
      </c>
      <c r="B52" s="4" cm="1">
        <f t="array" ref="B52">BScall($B$1,$B$2,A52,$B$4,$B$5)</f>
        <v>5.1845679213136506</v>
      </c>
      <c r="C52" s="4">
        <f t="shared" si="0"/>
        <v>-5.5111939603062581</v>
      </c>
      <c r="D52" s="4" cm="1">
        <f t="array" ref="D52">Bscall_delta($B$1,$B$2,A52,$B$4,$B$5)</f>
        <v>0.42549576169907594</v>
      </c>
      <c r="E52" s="4">
        <f t="shared" si="1"/>
        <v>21.274788084953798</v>
      </c>
      <c r="F52" s="4" cm="1">
        <f t="array" ref="F52">(Bscall_delta($B$1,$B$2,A52+0.0001,$B$4,$B$5)-D52)/0.0001</f>
        <v>2.1073380797043129E-2</v>
      </c>
      <c r="G52" s="4">
        <f t="shared" si="2"/>
        <v>52.683451992607822</v>
      </c>
      <c r="H52" s="4" cm="1">
        <f t="array" ref="H52">(BScall($B$1,$B$2,A52,$B$4+0.0001,$B$5)-B52)/0.0001</f>
        <v>36.453398890810007</v>
      </c>
      <c r="I52" s="4" cm="1">
        <f t="array" ref="I52">(BScall($B$1-0.0001,$B$2,A52,$B$4,$B$5)-B52)/0.0001</f>
        <v>-4.1611492937843053</v>
      </c>
      <c r="J52" s="4">
        <f t="shared" si="3"/>
        <v>41.611492937843053</v>
      </c>
    </row>
    <row r="53" spans="1:10" x14ac:dyDescent="0.3">
      <c r="A53" s="4">
        <v>94</v>
      </c>
      <c r="B53" s="4" cm="1">
        <f t="array" ref="B53">BScall($B$1,$B$2,A53,$B$4,$B$5)</f>
        <v>5.6205955665821694</v>
      </c>
      <c r="C53" s="4">
        <f t="shared" si="0"/>
        <v>-4.5111939603062581</v>
      </c>
      <c r="D53" s="4" cm="1">
        <f t="array" ref="D53">Bscall_delta($B$1,$B$2,A53,$B$4,$B$5)</f>
        <v>0.44655222665540295</v>
      </c>
      <c r="E53" s="4">
        <f t="shared" si="1"/>
        <v>22.327611332770147</v>
      </c>
      <c r="F53" s="4" cm="1">
        <f t="array" ref="F53">(Bscall_delta($B$1,$B$2,A53+0.0001,$B$4,$B$5)-D53)/0.0001</f>
        <v>2.1029602963462679E-2</v>
      </c>
      <c r="G53" s="4">
        <f t="shared" si="2"/>
        <v>52.574007408656698</v>
      </c>
      <c r="H53" s="4" cm="1">
        <f t="array" ref="H53">(BScall($B$1,$B$2,A53,$B$4+0.0001,$B$5)-B53)/0.0001</f>
        <v>37.163938033204502</v>
      </c>
      <c r="I53" s="4" cm="1">
        <f t="array" ref="I53">(BScall($B$1-0.0001,$B$2,A53,$B$4,$B$5)-B53)/0.0001</f>
        <v>-4.2617651007148538</v>
      </c>
      <c r="J53" s="4">
        <f t="shared" si="3"/>
        <v>42.617651007148538</v>
      </c>
    </row>
    <row r="54" spans="1:10" x14ac:dyDescent="0.3">
      <c r="A54" s="4">
        <v>95</v>
      </c>
      <c r="B54" s="4" cm="1">
        <f t="array" ref="B54">BScall($B$1,$B$2,A54,$B$4,$B$5)</f>
        <v>6.0776479476704202</v>
      </c>
      <c r="C54" s="4">
        <f t="shared" si="0"/>
        <v>-3.5111939603062581</v>
      </c>
      <c r="D54" s="4" cm="1">
        <f t="array" ref="D54">Bscall_delta($B$1,$B$2,A54,$B$4,$B$5)</f>
        <v>0.46753549387100574</v>
      </c>
      <c r="E54" s="4">
        <f t="shared" si="1"/>
        <v>23.376774693550288</v>
      </c>
      <c r="F54" s="4" cm="1">
        <f t="array" ref="F54">(Bscall_delta($B$1,$B$2,A54+0.0001,$B$4,$B$5)-D54)/0.0001</f>
        <v>2.0927394904779462E-2</v>
      </c>
      <c r="G54" s="4">
        <f t="shared" si="2"/>
        <v>52.318487261948654</v>
      </c>
      <c r="H54" s="4" cm="1">
        <f t="array" ref="H54">(BScall($B$1,$B$2,A54,$B$4+0.0001,$B$5)-B54)/0.0001</f>
        <v>37.774175955194167</v>
      </c>
      <c r="I54" s="4" cm="1">
        <f t="array" ref="I54">(BScall($B$1-0.0001,$B$2,A54,$B$4,$B$5)-B54)/0.0001</f>
        <v>-4.3525575902236824</v>
      </c>
      <c r="J54" s="4">
        <f t="shared" si="3"/>
        <v>43.525575902236824</v>
      </c>
    </row>
    <row r="55" spans="1:10" x14ac:dyDescent="0.3">
      <c r="A55" s="4">
        <v>96</v>
      </c>
      <c r="B55" s="4" cm="1">
        <f t="array" ref="B55">BScall($B$1,$B$2,A55,$B$4,$B$5)</f>
        <v>6.5556230826238941</v>
      </c>
      <c r="C55" s="4">
        <f t="shared" si="0"/>
        <v>-2.5111939603062581</v>
      </c>
      <c r="D55" s="4" cm="1">
        <f t="array" ref="D55">Bscall_delta($B$1,$B$2,A55,$B$4,$B$5)</f>
        <v>0.48838844109197371</v>
      </c>
      <c r="E55" s="4">
        <f t="shared" si="1"/>
        <v>24.419422054598687</v>
      </c>
      <c r="F55" s="4" cm="1">
        <f t="array" ref="F55">(Bscall_delta($B$1,$B$2,A55+0.0001,$B$4,$B$5)-D55)/0.0001</f>
        <v>2.0769432750311623E-2</v>
      </c>
      <c r="G55" s="4">
        <f t="shared" si="2"/>
        <v>51.923581875779057</v>
      </c>
      <c r="H55" s="4" cm="1">
        <f t="array" ref="H55">(BScall($B$1,$B$2,A55,$B$4+0.0001,$B$5)-B55)/0.0001</f>
        <v>38.282299214644766</v>
      </c>
      <c r="I55" s="4" cm="1">
        <f t="array" ref="I55">(BScall($B$1-0.0001,$B$2,A55,$B$4,$B$5)-B55)/0.0001</f>
        <v>-4.4332610931441252</v>
      </c>
      <c r="J55" s="4">
        <f t="shared" si="3"/>
        <v>44.332610931441252</v>
      </c>
    </row>
    <row r="56" spans="1:10" x14ac:dyDescent="0.3">
      <c r="A56" s="4">
        <v>97</v>
      </c>
      <c r="B56" s="4" cm="1">
        <f t="array" ref="B56">BScall($B$1,$B$2,A56,$B$4,$B$5)</f>
        <v>7.0543632628526751</v>
      </c>
      <c r="C56" s="4">
        <f t="shared" si="0"/>
        <v>-1.5111939603062581</v>
      </c>
      <c r="D56" s="4" cm="1">
        <f t="array" ref="D56">Bscall_delta($B$1,$B$2,A56,$B$4,$B$5)</f>
        <v>0.50905679251370306</v>
      </c>
      <c r="E56" s="4">
        <f t="shared" si="1"/>
        <v>25.452839625685154</v>
      </c>
      <c r="F56" s="4" cm="1">
        <f t="array" ref="F56">(Bscall_delta($B$1,$B$2,A56+0.0001,$B$4,$B$5)-D56)/0.0001</f>
        <v>2.0558723885510943E-2</v>
      </c>
      <c r="G56" s="4">
        <f t="shared" si="2"/>
        <v>51.396809713777358</v>
      </c>
      <c r="H56" s="4" cm="1">
        <f t="array" ref="H56">(BScall($B$1,$B$2,A56,$B$4+0.0001,$B$5)-B56)/0.0001</f>
        <v>38.687389833658159</v>
      </c>
      <c r="I56" s="4" cm="1">
        <f t="array" ref="I56">(BScall($B$1-0.0001,$B$2,A56,$B$4,$B$5)-B56)/0.0001</f>
        <v>-4.5037011364357227</v>
      </c>
      <c r="J56" s="4">
        <f t="shared" si="3"/>
        <v>45.037011364357227</v>
      </c>
    </row>
    <row r="57" spans="1:10" x14ac:dyDescent="0.3">
      <c r="A57" s="4">
        <v>98</v>
      </c>
      <c r="B57" s="4" cm="1">
        <f t="array" ref="B57">BScall($B$1,$B$2,A57,$B$4,$B$5)</f>
        <v>7.573658055800176</v>
      </c>
      <c r="C57" s="4">
        <f t="shared" si="0"/>
        <v>-0.51119396030625808</v>
      </c>
      <c r="D57" s="4" cm="1">
        <f t="array" ref="D57">Bscall_delta($B$1,$B$2,A57,$B$4,$B$5)</f>
        <v>0.52948942181492553</v>
      </c>
      <c r="E57" s="4">
        <f t="shared" si="1"/>
        <v>26.474471090746277</v>
      </c>
      <c r="F57" s="4" cm="1">
        <f t="array" ref="F57">(Bscall_delta($B$1,$B$2,A57+0.0001,$B$4,$B$5)-D57)/0.0001</f>
        <v>2.0298550553743411E-2</v>
      </c>
      <c r="G57" s="4">
        <f t="shared" si="2"/>
        <v>50.746376384358527</v>
      </c>
      <c r="H57" s="4" cm="1">
        <f t="array" ref="H57">(BScall($B$1,$B$2,A57,$B$4+0.0001,$B$5)-B57)/0.0001</f>
        <v>38.989392258335087</v>
      </c>
      <c r="I57" s="4" cm="1">
        <f t="array" ref="I57">(BScall($B$1-0.0001,$B$2,A57,$B$4,$B$5)-B57)/0.0001</f>
        <v>-4.5637917510354953</v>
      </c>
      <c r="J57" s="4">
        <f t="shared" si="3"/>
        <v>45.637917510354953</v>
      </c>
    </row>
    <row r="58" spans="1:10" x14ac:dyDescent="0.3">
      <c r="A58" s="4">
        <v>99</v>
      </c>
      <c r="B58" s="4" cm="1">
        <f t="array" ref="B58">BScall($B$1,$B$2,A58,$B$4,$B$5)</f>
        <v>8.113247582541895</v>
      </c>
      <c r="C58" s="4">
        <f t="shared" si="0"/>
        <v>0.48880603969374192</v>
      </c>
      <c r="D58" s="4" cm="1">
        <f t="array" ref="D58">Bscall_delta($B$1,$B$2,A58,$B$4,$B$5)</f>
        <v>0.54963859912496305</v>
      </c>
      <c r="E58" s="4">
        <f t="shared" si="1"/>
        <v>27.481929956248152</v>
      </c>
      <c r="F58" s="4" cm="1">
        <f t="array" ref="F58">(Bscall_delta($B$1,$B$2,A58+0.0001,$B$4,$B$5)-D58)/0.0001</f>
        <v>1.9992414292957505E-2</v>
      </c>
      <c r="G58" s="4">
        <f t="shared" si="2"/>
        <v>49.981035732393764</v>
      </c>
      <c r="H58" s="4" cm="1">
        <f t="array" ref="H58">(BScall($B$1,$B$2,A58,$B$4+0.0001,$B$5)-B58)/0.0001</f>
        <v>39.189070643015356</v>
      </c>
      <c r="I58" s="4" cm="1">
        <f t="array" ref="I58">(BScall($B$1-0.0001,$B$2,A58,$B$4,$B$5)-B58)/0.0001</f>
        <v>-4.6135317499995665</v>
      </c>
      <c r="J58" s="4">
        <f t="shared" si="3"/>
        <v>46.135317499995665</v>
      </c>
    </row>
    <row r="59" spans="1:10" x14ac:dyDescent="0.3">
      <c r="A59" s="4">
        <v>100</v>
      </c>
      <c r="B59" s="4" cm="1">
        <f t="array" ref="B59">BScall($B$1,$B$2,A59,$B$4,$B$5)</f>
        <v>8.6728260148180123</v>
      </c>
      <c r="C59" s="4">
        <f t="shared" si="0"/>
        <v>1.4888060396937419</v>
      </c>
      <c r="D59" s="4" cm="1">
        <f t="array" ref="D59">Bscall_delta($B$1,$B$2,A59,$B$4,$B$5)</f>
        <v>0.56946018320767366</v>
      </c>
      <c r="E59" s="4">
        <f t="shared" si="1"/>
        <v>28.473009160383683</v>
      </c>
      <c r="F59" s="4" cm="1">
        <f t="array" ref="F59">(Bscall_delta($B$1,$B$2,A59+0.0001,$B$4,$B$5)-D59)/0.0001</f>
        <v>1.9643982058781262E-2</v>
      </c>
      <c r="G59" s="4">
        <f t="shared" si="2"/>
        <v>49.109955146953155</v>
      </c>
      <c r="H59" s="4" cm="1">
        <f t="array" ref="H59">(BScall($B$1,$B$2,A59,$B$4+0.0001,$B$5)-B59)/0.0001</f>
        <v>39.28795792955242</v>
      </c>
      <c r="I59" s="4" cm="1">
        <f t="array" ref="I59">(BScall($B$1-0.0001,$B$2,A59,$B$4,$B$5)-B59)/0.0001</f>
        <v>-4.6530001234401652</v>
      </c>
      <c r="J59" s="4">
        <f t="shared" si="3"/>
        <v>46.530001234401652</v>
      </c>
    </row>
    <row r="60" spans="1:10" x14ac:dyDescent="0.3">
      <c r="A60" s="4">
        <v>101</v>
      </c>
      <c r="B60" s="4" cm="1">
        <f t="array" ref="B60">BScall($B$1,$B$2,A60,$B$4,$B$5)</f>
        <v>9.2520452376923945</v>
      </c>
      <c r="C60" s="4">
        <f t="shared" si="0"/>
        <v>2.4888060396937419</v>
      </c>
      <c r="D60" s="4" cm="1">
        <f t="array" ref="D60">Bscall_delta($B$1,$B$2,A60,$B$4,$B$5)</f>
        <v>0.58891376093487491</v>
      </c>
      <c r="E60" s="4">
        <f t="shared" si="1"/>
        <v>29.445688046743747</v>
      </c>
      <c r="F60" s="4" cm="1">
        <f t="array" ref="F60">(Bscall_delta($B$1,$B$2,A60+0.0001,$B$4,$B$5)-D60)/0.0001</f>
        <v>1.9257034775677084E-2</v>
      </c>
      <c r="G60" s="4">
        <f t="shared" si="2"/>
        <v>48.142586939192711</v>
      </c>
      <c r="H60" s="4" cm="1">
        <f t="array" ref="H60">(BScall($B$1,$B$2,A60,$B$4+0.0001,$B$5)-B60)/0.0001</f>
        <v>39.288298206319183</v>
      </c>
      <c r="I60" s="4" cm="1">
        <f t="array" ref="I60">(BScall($B$1-0.0001,$B$2,A60,$B$4,$B$5)-B60)/0.0001</f>
        <v>-4.6823506921533919</v>
      </c>
      <c r="J60" s="4">
        <f t="shared" si="3"/>
        <v>46.823506921533919</v>
      </c>
    </row>
    <row r="61" spans="1:10" x14ac:dyDescent="0.3">
      <c r="A61" s="4">
        <v>102</v>
      </c>
      <c r="B61" s="4" cm="1">
        <f t="array" ref="B61">BScall($B$1,$B$2,A61,$B$4,$B$5)</f>
        <v>9.8505186264439448</v>
      </c>
      <c r="C61" s="4">
        <f t="shared" si="0"/>
        <v>3.4888060396937419</v>
      </c>
      <c r="D61" s="4" cm="1">
        <f t="array" ref="D61">Bscall_delta($B$1,$B$2,A61,$B$4,$B$5)</f>
        <v>0.60796273678100277</v>
      </c>
      <c r="E61" s="4">
        <f t="shared" si="1"/>
        <v>30.398136839050139</v>
      </c>
      <c r="F61" s="4" cm="1">
        <f t="array" ref="F61">(Bscall_delta($B$1,$B$2,A61+0.0001,$B$4,$B$5)-D61)/0.0001</f>
        <v>1.883541894120988E-2</v>
      </c>
      <c r="G61" s="4">
        <f t="shared" si="2"/>
        <v>47.088547353024701</v>
      </c>
      <c r="H61" s="4" cm="1">
        <f t="array" ref="H61">(BScall($B$1,$B$2,A61,$B$4+0.0001,$B$5)-B61)/0.0001</f>
        <v>39.19298381827474</v>
      </c>
      <c r="I61" s="4" cm="1">
        <f t="array" ref="I61">(BScall($B$1-0.0001,$B$2,A61,$B$4,$B$5)-B61)/0.0001</f>
        <v>-4.7018061712122972</v>
      </c>
      <c r="J61" s="4">
        <f t="shared" si="3"/>
        <v>47.018061712122972</v>
      </c>
    </row>
    <row r="62" spans="1:10" x14ac:dyDescent="0.3">
      <c r="A62" s="4">
        <v>103</v>
      </c>
      <c r="B62" s="4" cm="1">
        <f t="array" ref="B62">BScall($B$1,$B$2,A62,$B$4,$B$5)</f>
        <v>10.467824889303939</v>
      </c>
      <c r="C62" s="4">
        <f t="shared" si="0"/>
        <v>4.4888060396937419</v>
      </c>
      <c r="D62" s="4" cm="1">
        <f t="array" ref="D62">Bscall_delta($B$1,$B$2,A62,$B$4,$B$5)</f>
        <v>0.62657437560137441</v>
      </c>
      <c r="E62" s="4">
        <f t="shared" si="1"/>
        <v>31.328718780068719</v>
      </c>
      <c r="F62" s="4" cm="1">
        <f t="array" ref="F62">(Bscall_delta($B$1,$B$2,A62+0.0001,$B$4,$B$5)-D62)/0.0001</f>
        <v>1.8383001647581665E-2</v>
      </c>
      <c r="G62" s="4">
        <f t="shared" si="2"/>
        <v>45.957504118954162</v>
      </c>
      <c r="H62" s="4" cm="1">
        <f t="array" ref="H62">(BScall($B$1,$B$2,A62,$B$4+0.0001,$B$5)-B62)/0.0001</f>
        <v>39.005488651362441</v>
      </c>
      <c r="I62" s="4" cm="1">
        <f t="array" ref="I62">(BScall($B$1-0.0001,$B$2,A62,$B$4,$B$5)-B62)/0.0001</f>
        <v>-4.7116517860779084</v>
      </c>
      <c r="J62" s="4">
        <f t="shared" si="3"/>
        <v>47.116517860779084</v>
      </c>
    </row>
    <row r="63" spans="1:10" x14ac:dyDescent="0.3">
      <c r="A63" s="4">
        <v>104</v>
      </c>
      <c r="B63" s="4" cm="1">
        <f t="array" ref="B63">BScall($B$1,$B$2,A63,$B$4,$B$5)</f>
        <v>11.103511931128228</v>
      </c>
      <c r="C63" s="4">
        <f t="shared" si="0"/>
        <v>5.4888060396937419</v>
      </c>
      <c r="D63" s="4" cm="1">
        <f t="array" ref="D63">Bscall_delta($B$1,$B$2,A63,$B$4,$B$5)</f>
        <v>0.64471980236362558</v>
      </c>
      <c r="E63" s="4">
        <f t="shared" si="1"/>
        <v>32.235990118181277</v>
      </c>
      <c r="F63" s="4" cm="1">
        <f t="array" ref="F63">(Bscall_delta($B$1,$B$2,A63+0.0001,$B$4,$B$5)-D63)/0.0001</f>
        <v>1.7903629503379648E-2</v>
      </c>
      <c r="G63" s="4">
        <f t="shared" si="2"/>
        <v>44.759073758449119</v>
      </c>
      <c r="H63" s="4" cm="1">
        <f t="array" ref="H63">(BScall($B$1,$B$2,A63,$B$4+0.0001,$B$5)-B63)/0.0001</f>
        <v>38.729798948313743</v>
      </c>
      <c r="I63" s="4" cm="1">
        <f t="array" ref="I63">(BScall($B$1-0.0001,$B$2,A63,$B$4,$B$5)-B63)/0.0001</f>
        <v>-4.7122285742418057</v>
      </c>
      <c r="J63" s="4">
        <f t="shared" si="3"/>
        <v>47.122285742418057</v>
      </c>
    </row>
    <row r="64" spans="1:10" x14ac:dyDescent="0.3">
      <c r="A64" s="4">
        <v>105</v>
      </c>
      <c r="B64" s="4" cm="1">
        <f t="array" ref="B64">BScall($B$1,$B$2,A64,$B$4,$B$5)</f>
        <v>11.757100696918911</v>
      </c>
      <c r="C64" s="4">
        <f t="shared" si="0"/>
        <v>6.4888060396937419</v>
      </c>
      <c r="D64" s="4" cm="1">
        <f t="array" ref="D64">Bscall_delta($B$1,$B$2,A64,$B$4,$B$5)</f>
        <v>0.66237396279298288</v>
      </c>
      <c r="E64" s="4">
        <f t="shared" si="1"/>
        <v>33.118698139649148</v>
      </c>
      <c r="F64" s="4" cm="1">
        <f t="array" ref="F64">(Bscall_delta($B$1,$B$2,A64+0.0001,$B$4,$B$5)-D64)/0.0001</f>
        <v>1.7401091587654349E-2</v>
      </c>
      <c r="G64" s="4">
        <f t="shared" si="2"/>
        <v>43.502728969135873</v>
      </c>
      <c r="H64" s="4" cm="1">
        <f t="array" ref="H64">(BScall($B$1,$B$2,A64,$B$4+0.0001,$B$5)-B64)/0.0001</f>
        <v>38.370342911093758</v>
      </c>
      <c r="I64" s="4" cm="1">
        <f t="array" ref="I64">(BScall($B$1-0.0001,$B$2,A64,$B$4,$B$5)-B64)/0.0001</f>
        <v>-4.7039265077764014</v>
      </c>
      <c r="J64" s="4">
        <f t="shared" si="3"/>
        <v>47.039265077764014</v>
      </c>
    </row>
    <row r="65" spans="1:10" x14ac:dyDescent="0.3">
      <c r="A65" s="4">
        <v>106</v>
      </c>
      <c r="B65" s="4" cm="1">
        <f t="array" ref="B65">BScall($B$1,$B$2,A65,$B$4,$B$5)</f>
        <v>12.428088958169795</v>
      </c>
      <c r="C65" s="4">
        <f t="shared" si="0"/>
        <v>7.4888060396937419</v>
      </c>
      <c r="D65" s="4" cm="1">
        <f t="array" ref="D65">Bscall_delta($B$1,$B$2,A65,$B$4,$B$5)</f>
        <v>0.67951554907603628</v>
      </c>
      <c r="E65" s="4">
        <f t="shared" si="1"/>
        <v>33.975777453801811</v>
      </c>
      <c r="F65" s="4" cm="1">
        <f t="array" ref="F65">(Bscall_delta($B$1,$B$2,A65+0.0001,$B$4,$B$5)-D65)/0.0001</f>
        <v>1.6879086615073646E-2</v>
      </c>
      <c r="G65" s="4">
        <f t="shared" si="2"/>
        <v>42.197716537684116</v>
      </c>
      <c r="H65" s="4" cm="1">
        <f t="array" ref="H65">(BScall($B$1,$B$2,A65,$B$4+0.0001,$B$5)-B65)/0.0001</f>
        <v>37.931920254195006</v>
      </c>
      <c r="I65" s="4" cm="1">
        <f t="array" ref="I65">(BScall($B$1-0.0001,$B$2,A65,$B$4,$B$5)-B65)/0.0001</f>
        <v>-4.6871775502310697</v>
      </c>
      <c r="J65" s="4">
        <f t="shared" si="3"/>
        <v>46.871775502310697</v>
      </c>
    </row>
    <row r="66" spans="1:10" x14ac:dyDescent="0.3">
      <c r="A66" s="4">
        <v>107</v>
      </c>
      <c r="B66" s="4" cm="1">
        <f t="array" ref="B66">BScall($B$1,$B$2,A66,$B$4,$B$5)</f>
        <v>13.115955009207074</v>
      </c>
      <c r="C66" s="4">
        <f t="shared" si="0"/>
        <v>8.4888060396937419</v>
      </c>
      <c r="D66" s="4" cm="1">
        <f t="array" ref="D66">Bscall_delta($B$1,$B$2,A66,$B$4,$B$5)</f>
        <v>0.69612689485493906</v>
      </c>
      <c r="E66" s="4">
        <f t="shared" si="1"/>
        <v>34.806344742746951</v>
      </c>
      <c r="F66" s="4" cm="1">
        <f t="array" ref="F66">(Bscall_delta($B$1,$B$2,A66+0.0001,$B$4,$B$5)-D66)/0.0001</f>
        <v>1.6341194356561672E-2</v>
      </c>
      <c r="G66" s="4">
        <f t="shared" si="2"/>
        <v>40.852985891404181</v>
      </c>
      <c r="H66" s="4" cm="1">
        <f t="array" ref="H66">(BScall($B$1,$B$2,A66,$B$4+0.0001,$B$5)-B66)/0.0001</f>
        <v>37.419632740167685</v>
      </c>
      <c r="I66" s="4" cm="1">
        <f t="array" ref="I66">(BScall($B$1-0.0001,$B$2,A66,$B$4,$B$5)-B66)/0.0001</f>
        <v>-4.6624487575641638</v>
      </c>
      <c r="J66" s="4">
        <f t="shared" si="3"/>
        <v>46.624487575641638</v>
      </c>
    </row>
    <row r="67" spans="1:10" x14ac:dyDescent="0.3">
      <c r="A67" s="4">
        <v>108</v>
      </c>
      <c r="B67" s="4" cm="1">
        <f t="array" ref="B67">BScall($B$1,$B$2,A67,$B$4,$B$5)</f>
        <v>13.82016124493525</v>
      </c>
      <c r="C67" s="4">
        <f t="shared" si="0"/>
        <v>9.4888060396937419</v>
      </c>
      <c r="D67" s="4" cm="1">
        <f t="array" ref="D67">Bscall_delta($B$1,$B$2,A67,$B$4,$B$5)</f>
        <v>0.71219384374553674</v>
      </c>
      <c r="E67" s="4">
        <f t="shared" si="1"/>
        <v>35.609692187276835</v>
      </c>
      <c r="F67" s="4" cm="1">
        <f t="array" ref="F67">(Bscall_delta($B$1,$B$2,A67+0.0001,$B$4,$B$5)-D67)/0.0001</f>
        <v>1.5790851258801197E-2</v>
      </c>
      <c r="G67" s="4">
        <f t="shared" si="2"/>
        <v>39.477128147002993</v>
      </c>
      <c r="H67" s="4" cm="1">
        <f t="array" ref="H67">(BScall($B$1,$B$2,A67,$B$4+0.0001,$B$5)-B67)/0.0001</f>
        <v>36.838816614110925</v>
      </c>
      <c r="I67" s="4" cm="1">
        <f t="array" ref="I67">(BScall($B$1-0.0001,$B$2,A67,$B$4,$B$5)-B67)/0.0001</f>
        <v>-4.6302355196026213</v>
      </c>
      <c r="J67" s="4">
        <f t="shared" si="3"/>
        <v>46.302355196026213</v>
      </c>
    </row>
    <row r="68" spans="1:10" x14ac:dyDescent="0.3">
      <c r="A68" s="4">
        <v>109</v>
      </c>
      <c r="B68" s="4" cm="1">
        <f t="array" ref="B68">BScall($B$1,$B$2,A68,$B$4,$B$5)</f>
        <v>14.540157595601688</v>
      </c>
      <c r="C68" s="4">
        <f t="shared" si="0"/>
        <v>10.488806039693742</v>
      </c>
      <c r="D68" s="4" cm="1">
        <f t="array" ref="D68">Bscall_delta($B$1,$B$2,A68,$B$4,$B$5)</f>
        <v>0.72770559554028902</v>
      </c>
      <c r="E68" s="4">
        <f t="shared" si="1"/>
        <v>36.385279777014453</v>
      </c>
      <c r="F68" s="4" cm="1">
        <f t="array" ref="F68">(Bscall_delta($B$1,$B$2,A68+0.0001,$B$4,$B$5)-D68)/0.0001</f>
        <v>1.5231330167120305E-2</v>
      </c>
      <c r="G68" s="4">
        <f t="shared" si="2"/>
        <v>38.078325417800762</v>
      </c>
      <c r="H68" s="4" cm="1">
        <f t="array" ref="H68">(BScall($B$1,$B$2,A68,$B$4+0.0001,$B$5)-B68)/0.0001</f>
        <v>36.194977721173416</v>
      </c>
      <c r="I68" s="4" cm="1">
        <f t="array" ref="I68">(BScall($B$1-0.0001,$B$2,A68,$B$4,$B$5)-B68)/0.0001</f>
        <v>-4.5910550222671986</v>
      </c>
      <c r="J68" s="4">
        <f t="shared" si="3"/>
        <v>45.910550222671986</v>
      </c>
    </row>
    <row r="69" spans="1:10" x14ac:dyDescent="0.3">
      <c r="A69" s="4">
        <v>110</v>
      </c>
      <c r="B69" s="4" cm="1">
        <f t="array" ref="B69">BScall($B$1,$B$2,A69,$B$4,$B$5)</f>
        <v>15.275384798290871</v>
      </c>
      <c r="C69" s="4">
        <f t="shared" si="0"/>
        <v>11.488806039693742</v>
      </c>
      <c r="D69" s="4" cm="1">
        <f t="array" ref="D69">Bscall_delta($B$1,$B$2,A69,$B$4,$B$5)</f>
        <v>0.742654534121447</v>
      </c>
      <c r="E69" s="4">
        <f t="shared" si="1"/>
        <v>37.132726706072347</v>
      </c>
      <c r="F69" s="4" cm="1">
        <f t="array" ref="F69">(Bscall_delta($B$1,$B$2,A69+0.0001,$B$4,$B$5)-D69)/0.0001</f>
        <v>1.4665723994111701E-2</v>
      </c>
      <c r="G69" s="4">
        <f t="shared" si="2"/>
        <v>36.664309985279253</v>
      </c>
      <c r="H69" s="4" cm="1">
        <f t="array" ref="H69">(BScall($B$1,$B$2,A69,$B$4+0.0001,$B$5)-B69)/0.0001</f>
        <v>35.493729964279908</v>
      </c>
      <c r="I69" s="4" cm="1">
        <f t="array" ref="I69">(BScall($B$1-0.0001,$B$2,A69,$B$4,$B$5)-B69)/0.0001</f>
        <v>-4.5454400049038668</v>
      </c>
      <c r="J69" s="4">
        <f t="shared" si="3"/>
        <v>45.454400049038668</v>
      </c>
    </row>
    <row r="70" spans="1:10" x14ac:dyDescent="0.3">
      <c r="A70" s="4">
        <v>111</v>
      </c>
      <c r="B70" s="4" cm="1">
        <f t="array" ref="B70">BScall($B$1,$B$2,A70,$B$4,$B$5)</f>
        <v>16.025277488795165</v>
      </c>
      <c r="C70" s="4">
        <f t="shared" si="0"/>
        <v>12.488806039693742</v>
      </c>
      <c r="D70" s="4" cm="1">
        <f t="array" ref="D70">Bscall_delta($B$1,$B$2,A70,$B$4,$B$5)</f>
        <v>0.75703604092297239</v>
      </c>
      <c r="E70" s="4">
        <f t="shared" si="1"/>
        <v>37.85180204614862</v>
      </c>
      <c r="F70" s="4" cm="1">
        <f t="array" ref="F70">(Bscall_delta($B$1,$B$2,A70+0.0001,$B$4,$B$5)-D70)/0.0001</f>
        <v>1.4096933107499154E-2</v>
      </c>
      <c r="G70" s="4">
        <f t="shared" si="2"/>
        <v>35.242332768747886</v>
      </c>
      <c r="H70" s="4" cm="1">
        <f t="array" ref="H70">(BScall($B$1,$B$2,A70,$B$4+0.0001,$B$5)-B70)/0.0001</f>
        <v>34.740737635914343</v>
      </c>
      <c r="I70" s="4" cm="1">
        <f t="array" ref="I70">(BScall($B$1-0.0001,$B$2,A70,$B$4,$B$5)-B70)/0.0001</f>
        <v>-4.493932867930539</v>
      </c>
      <c r="J70" s="4">
        <f t="shared" si="3"/>
        <v>44.93932867930539</v>
      </c>
    </row>
    <row r="71" spans="1:10" x14ac:dyDescent="0.3">
      <c r="A71" s="4">
        <v>112</v>
      </c>
      <c r="B71" s="4" cm="1">
        <f t="array" ref="B71">BScall($B$1,$B$2,A71,$B$4,$B$5)</f>
        <v>16.789267101236746</v>
      </c>
      <c r="C71" s="4">
        <f t="shared" si="0"/>
        <v>13.488806039693742</v>
      </c>
      <c r="D71" s="4" cm="1">
        <f t="array" ref="D71">Bscall_delta($B$1,$B$2,A71,$B$4,$B$5)</f>
        <v>0.77084829755180739</v>
      </c>
      <c r="E71" s="4">
        <f t="shared" si="1"/>
        <v>38.542414877590367</v>
      </c>
      <c r="F71" s="4" cm="1">
        <f t="array" ref="F71">(Bscall_delta($B$1,$B$2,A71+0.0001,$B$4,$B$5)-D71)/0.0001</f>
        <v>1.3527656220757578E-2</v>
      </c>
      <c r="G71" s="4">
        <f t="shared" si="2"/>
        <v>33.819140551893945</v>
      </c>
      <c r="H71" s="4" cm="1">
        <f t="array" ref="H71">(BScall($B$1,$B$2,A71,$B$4+0.0001,$B$5)-B71)/0.0001</f>
        <v>33.941662035594788</v>
      </c>
      <c r="I71" s="4" cm="1">
        <f t="array" ref="I71">(BScall($B$1-0.0001,$B$2,A71,$B$4,$B$5)-B71)/0.0001</f>
        <v>-4.4370801755988509</v>
      </c>
      <c r="J71" s="4">
        <f t="shared" si="3"/>
        <v>44.370801755988509</v>
      </c>
    </row>
    <row r="72" spans="1:10" x14ac:dyDescent="0.3">
      <c r="A72" s="4">
        <v>113</v>
      </c>
      <c r="B72" s="4" cm="1">
        <f t="array" ref="B72">BScall($B$1,$B$2,A72,$B$4,$B$5)</f>
        <v>17.566784566298537</v>
      </c>
      <c r="C72" s="4">
        <f t="shared" si="0"/>
        <v>14.488806039693742</v>
      </c>
      <c r="D72" s="4" cm="1">
        <f t="array" ref="D72">Bscall_delta($B$1,$B$2,A72,$B$4,$B$5)</f>
        <v>0.7840920809202836</v>
      </c>
      <c r="E72" s="4">
        <f t="shared" si="1"/>
        <v>39.204604046014182</v>
      </c>
      <c r="F72" s="4" cm="1">
        <f t="array" ref="F72">(Bscall_delta($B$1,$B$2,A72+0.0001,$B$4,$B$5)-D72)/0.0001</f>
        <v>1.2960384485616316E-2</v>
      </c>
      <c r="G72" s="4">
        <f t="shared" si="2"/>
        <v>32.400961214040791</v>
      </c>
      <c r="H72" s="4" cm="1">
        <f t="array" ref="H72">(BScall($B$1,$B$2,A72,$B$4+0.0001,$B$5)-B72)/0.0001</f>
        <v>33.102112670100325</v>
      </c>
      <c r="I72" s="4" cm="1">
        <f t="array" ref="I72">(BScall($B$1-0.0001,$B$2,A72,$B$4,$B$5)-B72)/0.0001</f>
        <v>-4.3754275946739085</v>
      </c>
      <c r="J72" s="4">
        <f t="shared" si="3"/>
        <v>43.754275946739085</v>
      </c>
    </row>
    <row r="73" spans="1:10" x14ac:dyDescent="0.3">
      <c r="A73" s="4">
        <v>114</v>
      </c>
      <c r="B73" s="4" cm="1">
        <f t="array" ref="B73">BScall($B$1,$B$2,A73,$B$4,$B$5)</f>
        <v>18.357262802134787</v>
      </c>
      <c r="C73" s="4">
        <f t="shared" si="0"/>
        <v>15.488806039693742</v>
      </c>
      <c r="D73" s="4" cm="1">
        <f t="array" ref="D73">Bscall_delta($B$1,$B$2,A73,$B$4,$B$5)</f>
        <v>0.79677055396085228</v>
      </c>
      <c r="E73" s="4">
        <f t="shared" si="1"/>
        <v>39.838527698042611</v>
      </c>
      <c r="F73" s="4" cm="1">
        <f t="array" ref="F73">(Bscall_delta($B$1,$B$2,A73+0.0001,$B$4,$B$5)-D73)/0.0001</f>
        <v>1.2397398496677425E-2</v>
      </c>
      <c r="G73" s="4">
        <f t="shared" si="2"/>
        <v>30.993496241693563</v>
      </c>
      <c r="H73" s="4" cm="1">
        <f t="array" ref="H73">(BScall($B$1,$B$2,A73,$B$4+0.0001,$B$5)-B73)/0.0001</f>
        <v>32.227603234318281</v>
      </c>
      <c r="I73" s="4" cm="1">
        <f t="array" ref="I73">(BScall($B$1-0.0001,$B$2,A73,$B$4,$B$5)-B73)/0.0001</f>
        <v>-4.3095152857830499</v>
      </c>
      <c r="J73" s="4">
        <f t="shared" si="3"/>
        <v>43.095152857830499</v>
      </c>
    </row>
    <row r="74" spans="1:10" x14ac:dyDescent="0.3">
      <c r="A74" s="4">
        <v>115</v>
      </c>
      <c r="B74" s="4" cm="1">
        <f t="array" ref="B74">BScall($B$1,$B$2,A74,$B$4,$B$5)</f>
        <v>19.160138994957151</v>
      </c>
      <c r="C74" s="4">
        <f t="shared" ref="C74:C109" si="4">A74-$B$2*EXP(-$B$5*$B$1)</f>
        <v>16.488806039693742</v>
      </c>
      <c r="D74" s="4" cm="1">
        <f t="array" ref="D74">Bscall_delta($B$1,$B$2,A74,$B$4,$B$5)</f>
        <v>0.80888905470015138</v>
      </c>
      <c r="E74" s="4">
        <f t="shared" ref="E74:E109" si="5">D74*50</f>
        <v>40.444452735007566</v>
      </c>
      <c r="F74" s="4" cm="1">
        <f t="array" ref="F74">(Bscall_delta($B$1,$B$2,A74+0.0001,$B$4,$B$5)-D74)/0.0001</f>
        <v>1.1840767966120325E-2</v>
      </c>
      <c r="G74" s="4">
        <f t="shared" ref="G74:G109" si="6">F74*2500</f>
        <v>29.601919915300812</v>
      </c>
      <c r="H74" s="4" cm="1">
        <f t="array" ref="H74">(BScall($B$1,$B$2,A74,$B$4+0.0001,$B$5)-B74)/0.0001</f>
        <v>31.323512468759418</v>
      </c>
      <c r="I74" s="4" cm="1">
        <f t="array" ref="I74">(BScall($B$1-0.0001,$B$2,A74,$B$4,$B$5)-B74)/0.0001</f>
        <v>-4.2398737644333551</v>
      </c>
      <c r="J74" s="4">
        <f t="shared" ref="J74:J109" si="7">-10*I74</f>
        <v>42.398737644333551</v>
      </c>
    </row>
    <row r="75" spans="1:10" x14ac:dyDescent="0.3">
      <c r="A75" s="4">
        <v>116</v>
      </c>
      <c r="B75" s="4" cm="1">
        <f t="array" ref="B75">BScall($B$1,$B$2,A75,$B$4,$B$5)</f>
        <v>19.97485666891896</v>
      </c>
      <c r="C75" s="4">
        <f t="shared" si="4"/>
        <v>17.488806039693742</v>
      </c>
      <c r="D75" s="4" cm="1">
        <f t="array" ref="D75">Bscall_delta($B$1,$B$2,A75,$B$4,$B$5)</f>
        <v>0.82045488616899109</v>
      </c>
      <c r="E75" s="4">
        <f t="shared" si="5"/>
        <v>41.022744308449553</v>
      </c>
      <c r="F75" s="4" cm="1">
        <f t="array" ref="F75">(Bscall_delta($B$1,$B$2,A75+0.0001,$B$4,$B$5)-D75)/0.0001</f>
        <v>1.1292353681024991E-2</v>
      </c>
      <c r="G75" s="4">
        <f t="shared" si="6"/>
        <v>28.230884202562478</v>
      </c>
      <c r="H75" s="4" cm="1">
        <f t="array" ref="H75">(BScall($B$1,$B$2,A75,$B$4+0.0001,$B$5)-B75)/0.0001</f>
        <v>30.395049909017757</v>
      </c>
      <c r="I75" s="4" cm="1">
        <f t="array" ref="I75">(BScall($B$1-0.0001,$B$2,A75,$B$4,$B$5)-B75)/0.0001</f>
        <v>-4.16702024043758</v>
      </c>
      <c r="J75" s="4">
        <f t="shared" si="7"/>
        <v>41.6702024043758</v>
      </c>
    </row>
    <row r="76" spans="1:10" x14ac:dyDescent="0.3">
      <c r="A76" s="4">
        <v>117</v>
      </c>
      <c r="B76" s="4" cm="1">
        <f t="array" ref="B76">BScall($B$1,$B$2,A76,$B$4,$B$5)</f>
        <v>20.800867547246614</v>
      </c>
      <c r="C76" s="4">
        <f t="shared" si="4"/>
        <v>18.488806039693742</v>
      </c>
      <c r="D76" s="4" cm="1">
        <f t="array" ref="D76">Bscall_delta($B$1,$B$2,A76,$B$4,$B$5)</f>
        <v>0.83147710932441399</v>
      </c>
      <c r="E76" s="4">
        <f t="shared" si="5"/>
        <v>41.573855466220699</v>
      </c>
      <c r="F76" s="4" cm="1">
        <f t="array" ref="F76">(Bscall_delta($B$1,$B$2,A76+0.0001,$B$4,$B$5)-D76)/0.0001</f>
        <v>1.0753811505725963E-2</v>
      </c>
      <c r="G76" s="4">
        <f t="shared" si="6"/>
        <v>26.884528764314908</v>
      </c>
      <c r="H76" s="4" cm="1">
        <f t="array" ref="H76">(BScall($B$1,$B$2,A76,$B$4+0.0001,$B$5)-B76)/0.0001</f>
        <v>29.447226465144638</v>
      </c>
      <c r="I76" s="4" cm="1">
        <f t="array" ref="I76">(BScall($B$1-0.0001,$B$2,A76,$B$4,$B$5)-B76)/0.0001</f>
        <v>-4.0914554280391258</v>
      </c>
      <c r="J76" s="4">
        <f t="shared" si="7"/>
        <v>40.914554280391258</v>
      </c>
    </row>
    <row r="77" spans="1:10" x14ac:dyDescent="0.3">
      <c r="A77" s="4">
        <v>118</v>
      </c>
      <c r="B77" s="4" cm="1">
        <f t="array" ref="B77">BScall($B$1,$B$2,A77,$B$4,$B$5)</f>
        <v>21.637633208594924</v>
      </c>
      <c r="C77" s="4">
        <f t="shared" si="4"/>
        <v>19.488806039693742</v>
      </c>
      <c r="D77" s="4" cm="1">
        <f t="array" ref="D77">Bscall_delta($B$1,$B$2,A77,$B$4,$B$5)</f>
        <v>0.84196634086495037</v>
      </c>
      <c r="E77" s="4">
        <f t="shared" si="5"/>
        <v>42.098317043247519</v>
      </c>
      <c r="F77" s="4" cm="1">
        <f t="array" ref="F77">(Bscall_delta($B$1,$B$2,A77+0.0001,$B$4,$B$5)-D77)/0.0001</f>
        <v>1.0226598126106268E-2</v>
      </c>
      <c r="G77" s="4">
        <f t="shared" si="6"/>
        <v>25.566495315265669</v>
      </c>
      <c r="H77" s="4" cm="1">
        <f t="array" ref="H77">(BScall($B$1,$B$2,A77,$B$4+0.0001,$B$5)-B77)/0.0001</f>
        <v>28.48482970389199</v>
      </c>
      <c r="I77" s="4" cm="1">
        <f t="array" ref="I77">(BScall($B$1-0.0001,$B$2,A77,$B$4,$B$5)-B77)/0.0001</f>
        <v>-4.0136608222240966</v>
      </c>
      <c r="J77" s="4">
        <f t="shared" si="7"/>
        <v>40.136608222240966</v>
      </c>
    </row>
    <row r="78" spans="1:10" x14ac:dyDescent="0.3">
      <c r="A78" s="4">
        <v>119</v>
      </c>
      <c r="B78" s="4" cm="1">
        <f t="array" ref="B78">BScall($B$1,$B$2,A78,$B$4,$B$5)</f>
        <v>22.484626544340756</v>
      </c>
      <c r="C78" s="4">
        <f t="shared" si="4"/>
        <v>20.488806039693742</v>
      </c>
      <c r="D78" s="4" cm="1">
        <f t="array" ref="D78">Bscall_delta($B$1,$B$2,A78,$B$4,$B$5)</f>
        <v>0.85193455753494352</v>
      </c>
      <c r="E78" s="4">
        <f t="shared" si="5"/>
        <v>42.596727876747174</v>
      </c>
      <c r="F78" s="4" cm="1">
        <f t="array" ref="F78">(Bscall_delta($B$1,$B$2,A78+0.0001,$B$4,$B$5)-D78)/0.0001</f>
        <v>9.7119782349608386E-3</v>
      </c>
      <c r="G78" s="4">
        <f t="shared" si="6"/>
        <v>24.279945587402096</v>
      </c>
      <c r="H78" s="4" cm="1">
        <f t="array" ref="H78">(BScall($B$1,$B$2,A78,$B$4+0.0001,$B$5)-B78)/0.0001</f>
        <v>27.512403657041773</v>
      </c>
      <c r="I78" s="4" cm="1">
        <f t="array" ref="I78">(BScall($B$1-0.0001,$B$2,A78,$B$4,$B$5)-B78)/0.0001</f>
        <v>-3.9340964222844832</v>
      </c>
      <c r="J78" s="4">
        <f t="shared" si="7"/>
        <v>39.340964222844832</v>
      </c>
    </row>
    <row r="79" spans="1:10" x14ac:dyDescent="0.3">
      <c r="A79" s="4">
        <v>120</v>
      </c>
      <c r="B79" s="4" cm="1">
        <f t="array" ref="B79">BScall($B$1,$B$2,A79,$B$4,$B$5)</f>
        <v>23.341333023988231</v>
      </c>
      <c r="C79" s="4">
        <f t="shared" si="4"/>
        <v>21.488806039693742</v>
      </c>
      <c r="D79" s="4" cm="1">
        <f t="array" ref="D79">Bscall_delta($B$1,$B$2,A79,$B$4,$B$5)</f>
        <v>0.86139490824193254</v>
      </c>
      <c r="E79" s="4">
        <f t="shared" si="5"/>
        <v>43.06974541209663</v>
      </c>
      <c r="F79" s="4" cm="1">
        <f t="array" ref="F79">(Bscall_delta($B$1,$B$2,A79+0.0001,$B$4,$B$5)-D79)/0.0001</f>
        <v>9.2110329308336958E-3</v>
      </c>
      <c r="G79" s="4">
        <f t="shared" si="6"/>
        <v>23.027582327084239</v>
      </c>
      <c r="H79" s="4" cm="1">
        <f t="array" ref="H79">(BScall($B$1,$B$2,A79,$B$4+0.0001,$B$5)-B79)/0.0001</f>
        <v>26.534232925534695</v>
      </c>
      <c r="I79" s="4" cm="1">
        <f t="array" ref="I79">(BScall($B$1-0.0001,$B$2,A79,$B$4,$B$5)-B79)/0.0001</f>
        <v>-3.8531988869294764</v>
      </c>
      <c r="J79" s="4">
        <f t="shared" si="7"/>
        <v>38.531988869294764</v>
      </c>
    </row>
    <row r="80" spans="1:10" x14ac:dyDescent="0.3">
      <c r="A80" s="4">
        <v>121</v>
      </c>
      <c r="B80" s="4" cm="1">
        <f t="array" ref="B80">BScall($B$1,$B$2,A80,$B$4,$B$5)</f>
        <v>24.207251777052988</v>
      </c>
      <c r="C80" s="4">
        <f t="shared" si="4"/>
        <v>22.488806039693742</v>
      </c>
      <c r="D80" s="4" cm="1">
        <f t="array" ref="D80">Bscall_delta($B$1,$B$2,A80,$B$4,$B$5)</f>
        <v>0.87036153505529767</v>
      </c>
      <c r="E80" s="4">
        <f t="shared" si="5"/>
        <v>43.518076752764884</v>
      </c>
      <c r="F80" s="4" cm="1">
        <f t="array" ref="F80">(Bscall_delta($B$1,$B$2,A80+0.0001,$B$4,$B$5)-D80)/0.0001</f>
        <v>8.7246690427811302E-3</v>
      </c>
      <c r="G80" s="4">
        <f t="shared" si="6"/>
        <v>21.811672606952826</v>
      </c>
      <c r="H80" s="4" cm="1">
        <f t="array" ref="H80">(BScall($B$1,$B$2,A80,$B$4+0.0001,$B$5)-B80)/0.0001</f>
        <v>25.554330826871308</v>
      </c>
      <c r="I80" s="4" cm="1">
        <f t="array" ref="I80">(BScall($B$1-0.0001,$B$2,A80,$B$4,$B$5)-B80)/0.0001</f>
        <v>-3.7713800965377686</v>
      </c>
      <c r="J80" s="4">
        <f t="shared" si="7"/>
        <v>37.713800965377686</v>
      </c>
    </row>
    <row r="81" spans="1:10" x14ac:dyDescent="0.3">
      <c r="A81" s="4">
        <v>122</v>
      </c>
      <c r="B81" s="4" cm="1">
        <f t="array" ref="B81">BScall($B$1,$B$2,A81,$B$4,$B$5)</f>
        <v>25.081896500741223</v>
      </c>
      <c r="C81" s="4">
        <f t="shared" si="4"/>
        <v>23.488806039693742</v>
      </c>
      <c r="D81" s="4" cm="1">
        <f t="array" ref="D81">Bscall_delta($B$1,$B$2,A81,$B$4,$B$5)</f>
        <v>0.87884940391670996</v>
      </c>
      <c r="E81" s="4">
        <f t="shared" si="5"/>
        <v>43.942470195835497</v>
      </c>
      <c r="F81" s="4" cm="1">
        <f t="array" ref="F81">(Bscall_delta($B$1,$B$2,A81+0.0001,$B$4,$B$5)-D81)/0.0001</f>
        <v>8.2536291956536445E-3</v>
      </c>
      <c r="G81" s="4">
        <f t="shared" si="6"/>
        <v>20.634072989134111</v>
      </c>
      <c r="H81" s="4" cm="1">
        <f t="array" ref="H81">(BScall($B$1,$B$2,A81,$B$4+0.0001,$B$5)-B81)/0.0001</f>
        <v>24.576431291869483</v>
      </c>
      <c r="I81" s="4" cm="1">
        <f t="array" ref="I81">(BScall($B$1-0.0001,$B$2,A81,$B$4,$B$5)-B81)/0.0001</f>
        <v>-3.6890260921396134</v>
      </c>
      <c r="J81" s="4">
        <f t="shared" si="7"/>
        <v>36.890260921396134</v>
      </c>
    </row>
    <row r="82" spans="1:10" x14ac:dyDescent="0.3">
      <c r="A82" s="4">
        <v>123</v>
      </c>
      <c r="B82" s="4" cm="1">
        <f t="array" ref="B82">BScall($B$1,$B$2,A82,$B$4,$B$5)</f>
        <v>25.964796203458938</v>
      </c>
      <c r="C82" s="4">
        <f t="shared" si="4"/>
        <v>24.488806039693742</v>
      </c>
      <c r="D82" s="4" cm="1">
        <f t="array" ref="D82">Bscall_delta($B$1,$B$2,A82,$B$4,$B$5)</f>
        <v>0.88687414567475742</v>
      </c>
      <c r="E82" s="4">
        <f t="shared" si="5"/>
        <v>44.343707283737871</v>
      </c>
      <c r="F82" s="4" cm="1">
        <f t="array" ref="F82">(Bscall_delta($B$1,$B$2,A82+0.0001,$B$4,$B$5)-D82)/0.0001</f>
        <v>7.7985023561044642E-3</v>
      </c>
      <c r="G82" s="4">
        <f t="shared" si="6"/>
        <v>19.49625589026116</v>
      </c>
      <c r="H82" s="4" cm="1">
        <f t="array" ref="H82">(BScall($B$1,$B$2,A82,$B$4+0.0001,$B$5)-B82)/0.0001</f>
        <v>23.603984212989815</v>
      </c>
      <c r="I82" s="4" cm="1">
        <f t="array" ref="I82">(BScall($B$1-0.0001,$B$2,A82,$B$4,$B$5)-B82)/0.0001</f>
        <v>-3.6064963712334475</v>
      </c>
      <c r="J82" s="4">
        <f t="shared" si="7"/>
        <v>36.064963712334475</v>
      </c>
    </row>
    <row r="83" spans="1:10" x14ac:dyDescent="0.3">
      <c r="A83" s="4">
        <v>124</v>
      </c>
      <c r="B83" s="4" cm="1">
        <f t="array" ref="B83">BScall($B$1,$B$2,A83,$B$4,$B$5)</f>
        <v>26.855495794697987</v>
      </c>
      <c r="C83" s="4">
        <f t="shared" si="4"/>
        <v>25.488806039693742</v>
      </c>
      <c r="D83" s="4" cm="1">
        <f t="array" ref="D83">Bscall_delta($B$1,$B$2,A83,$B$4,$B$5)</f>
        <v>0.89445190785820816</v>
      </c>
      <c r="E83" s="4">
        <f t="shared" si="5"/>
        <v>44.722595392910407</v>
      </c>
      <c r="F83" s="4" cm="1">
        <f t="array" ref="F83">(Bscall_delta($B$1,$B$2,A83+0.0001,$B$4,$B$5)-D83)/0.0001</f>
        <v>7.3597347338694163E-3</v>
      </c>
      <c r="G83" s="4">
        <f t="shared" si="6"/>
        <v>18.399336834673541</v>
      </c>
      <c r="H83" s="4" cm="1">
        <f t="array" ref="H83">(BScall($B$1,$B$2,A83,$B$4+0.0001,$B$5)-B83)/0.0001</f>
        <v>22.640153926012374</v>
      </c>
      <c r="I83" s="4" cm="1">
        <f t="array" ref="I83">(BScall($B$1-0.0001,$B$2,A83,$B$4,$B$5)-B83)/0.0001</f>
        <v>-3.5241234995453397</v>
      </c>
      <c r="J83" s="4">
        <f t="shared" si="7"/>
        <v>35.241234995453397</v>
      </c>
    </row>
    <row r="84" spans="1:10" x14ac:dyDescent="0.3">
      <c r="A84" s="4">
        <v>125</v>
      </c>
      <c r="B84" s="4" cm="1">
        <f t="array" ref="B84">BScall($B$1,$B$2,A84,$B$4,$B$5)</f>
        <v>27.753556532170677</v>
      </c>
      <c r="C84" s="4">
        <f t="shared" si="4"/>
        <v>26.488806039693742</v>
      </c>
      <c r="D84" s="4" cm="1">
        <f t="array" ref="D84">Bscall_delta($B$1,$B$2,A84,$B$4,$B$5)</f>
        <v>0.90159921742503923</v>
      </c>
      <c r="E84" s="4">
        <f t="shared" si="5"/>
        <v>45.079960871251963</v>
      </c>
      <c r="F84" s="4" cm="1">
        <f t="array" ref="F84">(Bscall_delta($B$1,$B$2,A84+0.0001,$B$4,$B$5)-D84)/0.0001</f>
        <v>6.9376408118326793E-3</v>
      </c>
      <c r="G84" s="4">
        <f t="shared" si="6"/>
        <v>17.344102029581698</v>
      </c>
      <c r="H84" s="4" cm="1">
        <f t="array" ref="H84">(BScall($B$1,$B$2,A84,$B$4+0.0001,$B$5)-B84)/0.0001</f>
        <v>21.687820501981037</v>
      </c>
      <c r="I84" s="4" cm="1">
        <f t="array" ref="I84">(BScall($B$1-0.0001,$B$2,A84,$B$4,$B$5)-B84)/0.0001</f>
        <v>-3.4422130195466139</v>
      </c>
      <c r="J84" s="4">
        <f t="shared" si="7"/>
        <v>34.422130195466139</v>
      </c>
    </row>
    <row r="85" spans="1:10" x14ac:dyDescent="0.3">
      <c r="A85" s="4">
        <v>126</v>
      </c>
      <c r="B85" s="4" cm="1">
        <f t="array" ref="B85">BScall($B$1,$B$2,A85,$B$4,$B$5)</f>
        <v>28.658556337220496</v>
      </c>
      <c r="C85" s="4">
        <f t="shared" si="4"/>
        <v>27.488806039693742</v>
      </c>
      <c r="D85" s="4" cm="1">
        <f t="array" ref="D85">Bscall_delta($B$1,$B$2,A85,$B$4,$B$5)</f>
        <v>0.90833285456744162</v>
      </c>
      <c r="E85" s="4">
        <f t="shared" si="5"/>
        <v>45.416642728372082</v>
      </c>
      <c r="F85" s="4" cm="1">
        <f t="array" ref="F85">(Bscall_delta($B$1,$B$2,A85+0.0001,$B$4,$B$5)-D85)/0.0001</f>
        <v>6.5324143960765468E-3</v>
      </c>
      <c r="G85" s="4">
        <f t="shared" si="6"/>
        <v>16.331035990191367</v>
      </c>
      <c r="H85" s="4" cm="1">
        <f t="array" ref="H85">(BScall($B$1,$B$2,A85,$B$4+0.0001,$B$5)-B85)/0.0001</f>
        <v>20.749583535035754</v>
      </c>
      <c r="I85" s="4" cm="1">
        <f t="array" ref="I85">(BScall($B$1-0.0001,$B$2,A85,$B$4,$B$5)-B85)/0.0001</f>
        <v>-3.3610436136299882</v>
      </c>
      <c r="J85" s="4">
        <f t="shared" si="7"/>
        <v>33.610436136299882</v>
      </c>
    </row>
    <row r="86" spans="1:10" x14ac:dyDescent="0.3">
      <c r="A86" s="4">
        <v>127</v>
      </c>
      <c r="B86" s="4" cm="1">
        <f t="array" ref="B86">BScall($B$1,$B$2,A86,$B$4,$B$5)</f>
        <v>29.570089989547512</v>
      </c>
      <c r="C86" s="4">
        <f t="shared" si="4"/>
        <v>28.488806039693742</v>
      </c>
      <c r="D86" s="4" cm="1">
        <f t="array" ref="D86">Bscall_delta($B$1,$B$2,A86,$B$4,$B$5)</f>
        <v>0.91466973751605962</v>
      </c>
      <c r="E86" s="4">
        <f t="shared" si="5"/>
        <v>45.733486875802981</v>
      </c>
      <c r="F86" s="4" cm="1">
        <f t="array" ref="F86">(Bscall_delta($B$1,$B$2,A86+0.0001,$B$4,$B$5)-D86)/0.0001</f>
        <v>6.1441395526884435E-3</v>
      </c>
      <c r="G86" s="4">
        <f t="shared" si="6"/>
        <v>15.360348881721109</v>
      </c>
      <c r="H86" s="4" cm="1">
        <f t="array" ref="H86">(BScall($B$1,$B$2,A86,$B$4+0.0001,$B$5)-B86)/0.0001</f>
        <v>19.827768107738564</v>
      </c>
      <c r="I86" s="4" cm="1">
        <f t="array" ref="I86">(BScall($B$1-0.0001,$B$2,A86,$B$4,$B$5)-B86)/0.0001</f>
        <v>-3.2808675014805999</v>
      </c>
      <c r="J86" s="4">
        <f t="shared" si="7"/>
        <v>32.808675014805999</v>
      </c>
    </row>
    <row r="87" spans="1:10" x14ac:dyDescent="0.3">
      <c r="A87" s="4">
        <v>128</v>
      </c>
      <c r="B87" s="4" cm="1">
        <f t="array" ref="B87">BScall($B$1,$B$2,A87,$B$4,$B$5)</f>
        <v>30.487769212169237</v>
      </c>
      <c r="C87" s="4">
        <f t="shared" si="4"/>
        <v>29.488806039693742</v>
      </c>
      <c r="D87" s="4" cm="1">
        <f t="array" ref="D87">Bscall_delta($B$1,$B$2,A87,$B$4,$B$5)</f>
        <v>0.92062681816895342</v>
      </c>
      <c r="E87" s="4">
        <f t="shared" si="5"/>
        <v>46.031340908447675</v>
      </c>
      <c r="F87" s="4" cm="1">
        <f t="array" ref="F87">(Bscall_delta($B$1,$B$2,A87+0.0001,$B$4,$B$5)-D87)/0.0001</f>
        <v>5.772801301429098E-3</v>
      </c>
      <c r="G87" s="4">
        <f t="shared" si="6"/>
        <v>14.432003253572745</v>
      </c>
      <c r="H87" s="4" cm="1">
        <f t="array" ref="H87">(BScall($B$1,$B$2,A87,$B$4+0.0001,$B$5)-B87)/0.0001</f>
        <v>18.924432632196897</v>
      </c>
      <c r="I87" s="4" cm="1">
        <f t="array" ref="I87">(BScall($B$1-0.0001,$B$2,A87,$B$4,$B$5)-B87)/0.0001</f>
        <v>-3.2019110336634071</v>
      </c>
      <c r="J87" s="4">
        <f t="shared" si="7"/>
        <v>32.019110336634071</v>
      </c>
    </row>
    <row r="88" spans="1:10" x14ac:dyDescent="0.3">
      <c r="A88" s="4">
        <v>129</v>
      </c>
      <c r="B88" s="4" cm="1">
        <f t="array" ref="B88">BScall($B$1,$B$2,A88,$B$4,$B$5)</f>
        <v>31.411222657312369</v>
      </c>
      <c r="C88" s="4">
        <f t="shared" si="4"/>
        <v>30.488806039693742</v>
      </c>
      <c r="D88" s="4" cm="1">
        <f t="array" ref="D88">Bscall_delta($B$1,$B$2,A88,$B$4,$B$5)</f>
        <v>0.92622098827122579</v>
      </c>
      <c r="E88" s="4">
        <f t="shared" si="5"/>
        <v>46.311049413561292</v>
      </c>
      <c r="F88" s="4" cm="1">
        <f t="array" ref="F88">(Bscall_delta($B$1,$B$2,A88+0.0001,$B$4,$B$5)-D88)/0.0001</f>
        <v>5.4182960085302767E-3</v>
      </c>
      <c r="G88" s="4">
        <f t="shared" si="6"/>
        <v>13.545740021325692</v>
      </c>
      <c r="H88" s="4" cm="1">
        <f t="array" ref="H88">(BScall($B$1,$B$2,A88,$B$4+0.0001,$B$5)-B88)/0.0001</f>
        <v>18.041378272179998</v>
      </c>
      <c r="I88" s="4" cm="1">
        <f t="array" ref="I88">(BScall($B$1-0.0001,$B$2,A88,$B$4,$B$5)-B88)/0.0001</f>
        <v>-3.1243754581211647</v>
      </c>
      <c r="J88" s="4">
        <f t="shared" si="7"/>
        <v>31.243754581211647</v>
      </c>
    </row>
    <row r="89" spans="1:10" x14ac:dyDescent="0.3">
      <c r="A89" s="4">
        <v>130</v>
      </c>
      <c r="B89" s="4" cm="1">
        <f t="array" ref="B89">BScall($B$1,$B$2,A89,$B$4,$B$5)</f>
        <v>32.340095803613913</v>
      </c>
      <c r="C89" s="4">
        <f t="shared" si="4"/>
        <v>31.488806039693742</v>
      </c>
      <c r="D89" s="4" cm="1">
        <f t="array" ref="D89">Bscall_delta($B$1,$B$2,A89,$B$4,$B$5)</f>
        <v>0.93146899578877163</v>
      </c>
      <c r="E89" s="4">
        <f t="shared" si="5"/>
        <v>46.573449789438584</v>
      </c>
      <c r="F89" s="4" cm="1">
        <f t="array" ref="F89">(Bscall_delta($B$1,$B$2,A89+0.0001,$B$4,$B$5)-D89)/0.0001</f>
        <v>5.0804413698202211E-3</v>
      </c>
      <c r="G89" s="4">
        <f t="shared" si="6"/>
        <v>12.701103424550553</v>
      </c>
      <c r="H89" s="4" cm="1">
        <f t="array" ref="H89">(BScall($B$1,$B$2,A89,$B$4+0.0001,$B$5)-B89)/0.0001</f>
        <v>17.180159673912954</v>
      </c>
      <c r="I89" s="4" cm="1">
        <f t="array" ref="I89">(BScall($B$1-0.0001,$B$2,A89,$B$4,$B$5)-B89)/0.0001</f>
        <v>-3.0484378297046533</v>
      </c>
      <c r="J89" s="4">
        <f t="shared" si="7"/>
        <v>30.484378297046533</v>
      </c>
    </row>
    <row r="90" spans="1:10" x14ac:dyDescent="0.3">
      <c r="A90" s="4">
        <v>131</v>
      </c>
      <c r="B90" s="4" cm="1">
        <f t="array" ref="B90">BScall($B$1,$B$2,A90,$B$4,$B$5)</f>
        <v>33.274050774619234</v>
      </c>
      <c r="C90" s="4">
        <f t="shared" si="4"/>
        <v>32.488806039693742</v>
      </c>
      <c r="D90" s="4" cm="1">
        <f t="array" ref="D90">Bscall_delta($B$1,$B$2,A90,$B$4,$B$5)</f>
        <v>0.93638737105294634</v>
      </c>
      <c r="E90" s="4">
        <f t="shared" si="5"/>
        <v>46.819368552647319</v>
      </c>
      <c r="F90" s="4" cm="1">
        <f t="array" ref="F90">(Bscall_delta($B$1,$B$2,A90+0.0001,$B$4,$B$5)-D90)/0.0001</f>
        <v>4.7589859619723285E-3</v>
      </c>
      <c r="G90" s="4">
        <f t="shared" si="6"/>
        <v>11.897464904930821</v>
      </c>
      <c r="H90" s="4" cm="1">
        <f t="array" ref="H90">(BScall($B$1,$B$2,A90,$B$4+0.0001,$B$5)-B90)/0.0001</f>
        <v>16.342096742008039</v>
      </c>
      <c r="I90" s="4" cm="1">
        <f t="array" ref="I90">(BScall($B$1-0.0001,$B$2,A90,$B$4,$B$5)-B90)/0.0001</f>
        <v>-2.9742520365516611</v>
      </c>
      <c r="J90" s="4">
        <f t="shared" si="7"/>
        <v>29.742520365516611</v>
      </c>
    </row>
    <row r="91" spans="1:10" x14ac:dyDescent="0.3">
      <c r="A91" s="4">
        <v>132</v>
      </c>
      <c r="B91" s="4" cm="1">
        <f t="array" ref="B91">BScall($B$1,$B$2,A91,$B$4,$B$5)</f>
        <v>34.212766088113852</v>
      </c>
      <c r="C91" s="4">
        <f t="shared" si="4"/>
        <v>33.488806039693742</v>
      </c>
      <c r="D91" s="4" cm="1">
        <f t="array" ref="D91">Bscall_delta($B$1,$B$2,A91,$B$4,$B$5)</f>
        <v>0.94099236220077376</v>
      </c>
      <c r="E91" s="4">
        <f t="shared" si="5"/>
        <v>47.049618110038686</v>
      </c>
      <c r="F91" s="4" cm="1">
        <f t="array" ref="F91">(Bscall_delta($B$1,$B$2,A91+0.0001,$B$4,$B$5)-D91)/0.0001</f>
        <v>4.4536182786103495E-3</v>
      </c>
      <c r="G91" s="4">
        <f t="shared" si="6"/>
        <v>11.134045696525874</v>
      </c>
      <c r="H91" s="4" cm="1">
        <f t="array" ref="H91">(BScall($B$1,$B$2,A91,$B$4+0.0001,$B$5)-B91)/0.0001</f>
        <v>15.528287225379245</v>
      </c>
      <c r="I91" s="4" cm="1">
        <f t="array" ref="I91">(BScall($B$1-0.0001,$B$2,A91,$B$4,$B$5)-B91)/0.0001</f>
        <v>-2.9019499216076383</v>
      </c>
      <c r="J91" s="4">
        <f t="shared" si="7"/>
        <v>29.019499216076383</v>
      </c>
    </row>
    <row r="92" spans="1:10" x14ac:dyDescent="0.3">
      <c r="A92" s="4">
        <v>133</v>
      </c>
      <c r="B92" s="4" cm="1">
        <f t="array" ref="B92">BScall($B$1,$B$2,A92,$B$4,$B$5)</f>
        <v>35.155936345330296</v>
      </c>
      <c r="C92" s="4">
        <f t="shared" si="4"/>
        <v>34.488806039693742</v>
      </c>
      <c r="D92" s="4" cm="1">
        <f t="array" ref="D92">Bscall_delta($B$1,$B$2,A92,$B$4,$B$5)</f>
        <v>0.9452998793962667</v>
      </c>
      <c r="E92" s="4">
        <f t="shared" si="5"/>
        <v>47.264993969813332</v>
      </c>
      <c r="F92" s="4" cm="1">
        <f t="array" ref="F92">(Bscall_delta($B$1,$B$2,A92+0.0001,$B$4,$B$5)-D92)/0.0001</f>
        <v>4.1639752490496562E-3</v>
      </c>
      <c r="G92" s="4">
        <f t="shared" si="6"/>
        <v>10.409938122624141</v>
      </c>
      <c r="H92" s="4" cm="1">
        <f t="array" ref="H92">(BScall($B$1,$B$2,A92,$B$4+0.0001,$B$5)-B92)/0.0001</f>
        <v>14.739619887222943</v>
      </c>
      <c r="I92" s="4" cm="1">
        <f t="array" ref="I92">(BScall($B$1-0.0001,$B$2,A92,$B$4,$B$5)-B92)/0.0001</f>
        <v>-2.8316424731400502</v>
      </c>
      <c r="J92" s="4">
        <f t="shared" si="7"/>
        <v>28.316424731400502</v>
      </c>
    </row>
    <row r="93" spans="1:10" x14ac:dyDescent="0.3">
      <c r="A93" s="4">
        <v>134</v>
      </c>
      <c r="B93" s="4" cm="1">
        <f t="array" ref="B93">BScall($B$1,$B$2,A93,$B$4,$B$5)</f>
        <v>36.103271868541931</v>
      </c>
      <c r="C93" s="4">
        <f t="shared" si="4"/>
        <v>35.488806039693742</v>
      </c>
      <c r="D93" s="4" cm="1">
        <f t="array" ref="D93">Bscall_delta($B$1,$B$2,A93,$B$4,$B$5)</f>
        <v>0.94932544729114665</v>
      </c>
      <c r="E93" s="4">
        <f t="shared" si="5"/>
        <v>47.466272364557334</v>
      </c>
      <c r="F93" s="4" cm="1">
        <f t="array" ref="F93">(Bscall_delta($B$1,$B$2,A93+0.0001,$B$4,$B$5)-D93)/0.0001</f>
        <v>3.8896501952656592E-3</v>
      </c>
      <c r="G93" s="4">
        <f t="shared" si="6"/>
        <v>9.7241254881641481</v>
      </c>
      <c r="H93" s="4" cm="1">
        <f t="array" ref="H93">(BScall($B$1,$B$2,A93,$B$4+0.0001,$B$5)-B93)/0.0001</f>
        <v>13.97678806384306</v>
      </c>
      <c r="I93" s="4" cm="1">
        <f t="array" ref="I93">(BScall($B$1-0.0001,$B$2,A93,$B$4,$B$5)-B93)/0.0001</f>
        <v>-2.7634210690763439</v>
      </c>
      <c r="J93" s="4">
        <f t="shared" si="7"/>
        <v>27.634210690763439</v>
      </c>
    </row>
    <row r="94" spans="1:10" x14ac:dyDescent="0.3">
      <c r="A94" s="4">
        <v>135</v>
      </c>
      <c r="B94" s="4" cm="1">
        <f t="array" ref="B94">BScall($B$1,$B$2,A94,$B$4,$B$5)</f>
        <v>37.054498295004876</v>
      </c>
      <c r="C94" s="4">
        <f t="shared" si="4"/>
        <v>36.488806039693742</v>
      </c>
      <c r="D94" s="4" cm="1">
        <f t="array" ref="D94">Bscall_delta($B$1,$B$2,A94,$B$4,$B$5)</f>
        <v>0.95308416516638594</v>
      </c>
      <c r="E94" s="4">
        <f t="shared" si="5"/>
        <v>47.654208258319301</v>
      </c>
      <c r="F94" s="4" cm="1">
        <f t="array" ref="F94">(Bscall_delta($B$1,$B$2,A94+0.0001,$B$4,$B$5)-D94)/0.0001</f>
        <v>3.6302002348609363E-3</v>
      </c>
      <c r="G94" s="4">
        <f t="shared" si="6"/>
        <v>9.0755005871523409</v>
      </c>
      <c r="H94" s="4" cm="1">
        <f t="array" ref="H94">(BScall($B$1,$B$2,A94,$B$4+0.0001,$B$5)-B94)/0.0001</f>
        <v>13.240303429711275</v>
      </c>
      <c r="I94" s="4" cm="1">
        <f t="array" ref="I94">(BScall($B$1-0.0001,$B$2,A94,$B$4,$B$5)-B94)/0.0001</f>
        <v>-2.6973587499412588</v>
      </c>
      <c r="J94" s="4">
        <f t="shared" si="7"/>
        <v>26.973587499412588</v>
      </c>
    </row>
    <row r="95" spans="1:10" x14ac:dyDescent="0.3">
      <c r="A95" s="4">
        <v>136</v>
      </c>
      <c r="B95" s="4" cm="1">
        <f t="array" ref="B95">BScall($B$1,$B$2,A95,$B$4,$B$5)</f>
        <v>38.009356134646069</v>
      </c>
      <c r="C95" s="4">
        <f t="shared" si="4"/>
        <v>37.488806039693742</v>
      </c>
      <c r="D95" s="4" cm="1">
        <f t="array" ref="D95">Bscall_delta($B$1,$B$2,A95,$B$4,$B$5)</f>
        <v>0.95659067418825316</v>
      </c>
      <c r="E95" s="4">
        <f t="shared" si="5"/>
        <v>47.829533709412658</v>
      </c>
      <c r="F95" s="4" cm="1">
        <f t="array" ref="F95">(Bscall_delta($B$1,$B$2,A95+0.0001,$B$4,$B$5)-D95)/0.0001</f>
        <v>3.3851531100470567E-3</v>
      </c>
      <c r="G95" s="4">
        <f t="shared" si="6"/>
        <v>8.4628827751176416</v>
      </c>
      <c r="H95" s="4" cm="1">
        <f t="array" ref="H95">(BScall($B$1,$B$2,A95,$B$4+0.0001,$B$5)-B95)/0.0001</f>
        <v>12.530509806012446</v>
      </c>
      <c r="I95" s="4" cm="1">
        <f t="array" ref="I95">(BScall($B$1-0.0001,$B$2,A95,$B$4,$B$5)-B95)/0.0001</f>
        <v>-2.633511512257769</v>
      </c>
      <c r="J95" s="4">
        <f t="shared" si="7"/>
        <v>26.33511512257769</v>
      </c>
    </row>
    <row r="96" spans="1:10" x14ac:dyDescent="0.3">
      <c r="A96" s="4">
        <v>137</v>
      </c>
      <c r="B96" s="4" cm="1">
        <f t="array" ref="B96">BScall($B$1,$B$2,A96,$B$4,$B$5)</f>
        <v>38.967600298328499</v>
      </c>
      <c r="C96" s="4">
        <f t="shared" si="4"/>
        <v>38.488806039693742</v>
      </c>
      <c r="D96" s="4" cm="1">
        <f t="array" ref="D96">Bscall_delta($B$1,$B$2,A96,$B$4,$B$5)</f>
        <v>0.95985913121268307</v>
      </c>
      <c r="E96" s="4">
        <f t="shared" si="5"/>
        <v>47.992956560634155</v>
      </c>
      <c r="F96" s="4" cm="1">
        <f t="array" ref="F96">(Bscall_delta($B$1,$B$2,A96+0.0001,$B$4,$B$5)-D96)/0.0001</f>
        <v>3.1540134548535548E-3</v>
      </c>
      <c r="G96" s="4">
        <f t="shared" si="6"/>
        <v>7.8850336371338869</v>
      </c>
      <c r="H96" s="4" cm="1">
        <f t="array" ref="H96">(BScall($B$1,$B$2,A96,$B$4+0.0001,$B$5)-B96)/0.0001</f>
        <v>11.847596878951094</v>
      </c>
      <c r="I96" s="4" cm="1">
        <f t="array" ref="I96">(BScall($B$1-0.0001,$B$2,A96,$B$4,$B$5)-B96)/0.0001</f>
        <v>-2.5719195990347998</v>
      </c>
      <c r="J96" s="4">
        <f t="shared" si="7"/>
        <v>25.719195990347998</v>
      </c>
    </row>
    <row r="97" spans="1:10" x14ac:dyDescent="0.3">
      <c r="A97" s="4">
        <v>138</v>
      </c>
      <c r="B97" s="4" cm="1">
        <f t="array" ref="B97">BScall($B$1,$B$2,A97,$B$4,$B$5)</f>
        <v>39.928999602961568</v>
      </c>
      <c r="C97" s="4">
        <f t="shared" si="4"/>
        <v>39.488806039693742</v>
      </c>
      <c r="D97" s="4" cm="1">
        <f t="array" ref="D97">Bscall_delta($B$1,$B$2,A97,$B$4,$B$5)</f>
        <v>0.96290318857864643</v>
      </c>
      <c r="E97" s="4">
        <f t="shared" si="5"/>
        <v>48.145159428932324</v>
      </c>
      <c r="F97" s="4" cm="1">
        <f t="array" ref="F97">(Bscall_delta($B$1,$B$2,A97+0.0001,$B$4,$B$5)-D97)/0.0001</f>
        <v>2.9362685050049464E-3</v>
      </c>
      <c r="G97" s="4">
        <f t="shared" si="6"/>
        <v>7.340671262512366</v>
      </c>
      <c r="H97" s="4" cm="1">
        <f t="array" ref="H97">(BScall($B$1,$B$2,A97,$B$4+0.0001,$B$5)-B97)/0.0001</f>
        <v>11.191613696936997</v>
      </c>
      <c r="I97" s="4" cm="1">
        <f t="array" ref="I97">(BScall($B$1-0.0001,$B$2,A97,$B$4,$B$5)-B97)/0.0001</f>
        <v>-2.5126087835758426</v>
      </c>
      <c r="J97" s="4">
        <f t="shared" si="7"/>
        <v>25.126087835758426</v>
      </c>
    </row>
    <row r="98" spans="1:10" x14ac:dyDescent="0.3">
      <c r="A98" s="4">
        <v>139</v>
      </c>
      <c r="B98" s="4" cm="1">
        <f t="array" ref="B98">BScall($B$1,$B$2,A98,$B$4,$B$5)</f>
        <v>40.893336259170582</v>
      </c>
      <c r="C98" s="4">
        <f t="shared" si="4"/>
        <v>40.488806039693742</v>
      </c>
      <c r="D98" s="4" cm="1">
        <f t="array" ref="D98">Bscall_delta($B$1,$B$2,A98,$B$4,$B$5)</f>
        <v>0.96573597934367728</v>
      </c>
      <c r="E98" s="4">
        <f t="shared" si="5"/>
        <v>48.286798967183863</v>
      </c>
      <c r="F98" s="4" cm="1">
        <f t="array" ref="F98">(Bscall_delta($B$1,$B$2,A98+0.0001,$B$4,$B$5)-D98)/0.0001</f>
        <v>2.7313932771111382E-3</v>
      </c>
      <c r="G98" s="4">
        <f t="shared" si="6"/>
        <v>6.8284831927778455</v>
      </c>
      <c r="H98" s="4" cm="1">
        <f t="array" ref="H98">(BScall($B$1,$B$2,A98,$B$4+0.0001,$B$5)-B98)/0.0001</f>
        <v>10.562481850371341</v>
      </c>
      <c r="I98" s="4" cm="1">
        <f t="array" ref="I98">(BScall($B$1-0.0001,$B$2,A98,$B$4,$B$5)-B98)/0.0001</f>
        <v>-2.4555916240132092</v>
      </c>
      <c r="J98" s="4">
        <f t="shared" si="7"/>
        <v>24.555916240132092</v>
      </c>
    </row>
    <row r="99" spans="1:10" x14ac:dyDescent="0.3">
      <c r="A99" s="4">
        <v>140</v>
      </c>
      <c r="B99" s="4" cm="1">
        <f t="array" ref="B99">BScall($B$1,$B$2,A99,$B$4,$B$5)</f>
        <v>41.860405346701597</v>
      </c>
      <c r="C99" s="4">
        <f t="shared" si="4"/>
        <v>41.488806039693742</v>
      </c>
      <c r="D99" s="4" cm="1">
        <f t="array" ref="D99">Bscall_delta($B$1,$B$2,A99,$B$4,$B$5)</f>
        <v>0.96837010743182028</v>
      </c>
      <c r="E99" s="4">
        <f t="shared" si="5"/>
        <v>48.418505371591017</v>
      </c>
      <c r="F99" s="4" cm="1">
        <f t="array" ref="F99">(Bscall_delta($B$1,$B$2,A99+0.0001,$B$4,$B$5)-D99)/0.0001</f>
        <v>2.5388552216121241E-3</v>
      </c>
      <c r="G99" s="4">
        <f t="shared" si="6"/>
        <v>6.3471380540303102</v>
      </c>
      <c r="H99" s="4" cm="1">
        <f t="array" ref="H99">(BScall($B$1,$B$2,A99,$B$4+0.0001,$B$5)-B99)/0.0001</f>
        <v>9.9600082412365509</v>
      </c>
      <c r="I99" s="4" cm="1">
        <f t="array" ref="I99">(BScall($B$1-0.0001,$B$2,A99,$B$4,$B$5)-B99)/0.0001</f>
        <v>-2.4008686942522672</v>
      </c>
      <c r="J99" s="4">
        <f t="shared" si="7"/>
        <v>24.008686942522672</v>
      </c>
    </row>
    <row r="100" spans="1:10" x14ac:dyDescent="0.3">
      <c r="A100" s="4">
        <v>141</v>
      </c>
      <c r="B100" s="4" cm="1">
        <f t="array" ref="B100">BScall($B$1,$B$2,A100,$B$4,$B$5)</f>
        <v>42.830014282217292</v>
      </c>
      <c r="C100" s="4">
        <f t="shared" si="4"/>
        <v>42.488806039693742</v>
      </c>
      <c r="D100" s="4" cm="1">
        <f t="array" ref="D100">Bscall_delta($B$1,$B$2,A100,$B$4,$B$5)</f>
        <v>0.97081764218507338</v>
      </c>
      <c r="E100" s="4">
        <f t="shared" si="5"/>
        <v>48.540882109253673</v>
      </c>
      <c r="F100" s="4" cm="1">
        <f t="array" ref="F100">(Bscall_delta($B$1,$B$2,A100+0.0001,$B$4,$B$5)-D100)/0.0001</f>
        <v>2.3581183783427662E-3</v>
      </c>
      <c r="G100" s="4">
        <f t="shared" si="6"/>
        <v>5.8952959458569154</v>
      </c>
      <c r="H100" s="4" cm="1">
        <f t="array" ref="H100">(BScall($B$1,$B$2,A100,$B$4+0.0001,$B$5)-B100)/0.0001</f>
        <v>9.3838973706539264</v>
      </c>
      <c r="I100" s="4" cm="1">
        <f t="array" ref="I100">(BScall($B$1-0.0001,$B$2,A100,$B$4,$B$5)-B100)/0.0001</f>
        <v>-2.3484297685882893</v>
      </c>
      <c r="J100" s="4">
        <f t="shared" si="7"/>
        <v>23.484297685882893</v>
      </c>
    </row>
    <row r="101" spans="1:10" x14ac:dyDescent="0.3">
      <c r="A101" s="4">
        <v>142</v>
      </c>
      <c r="B101" s="4" cm="1">
        <f t="array" ref="B101">BScall($B$1,$B$2,A101,$B$4,$B$5)</f>
        <v>43.801982283642701</v>
      </c>
      <c r="C101" s="4">
        <f t="shared" si="4"/>
        <v>43.488806039693742</v>
      </c>
      <c r="D101" s="4" cm="1">
        <f t="array" ref="D101">Bscall_delta($B$1,$B$2,A101,$B$4,$B$5)</f>
        <v>0.97309011683309909</v>
      </c>
      <c r="E101" s="4">
        <f t="shared" si="5"/>
        <v>48.654505841654952</v>
      </c>
      <c r="F101" s="4" cm="1">
        <f t="array" ref="F101">(Bscall_delta($B$1,$B$2,A101+0.0001,$B$4,$B$5)-D101)/0.0001</f>
        <v>2.1886470580323447E-3</v>
      </c>
      <c r="G101" s="4">
        <f t="shared" si="6"/>
        <v>5.4716176450808618</v>
      </c>
      <c r="H101" s="4" cm="1">
        <f t="array" ref="H101">(BScall($B$1,$B$2,A101,$B$4+0.0001,$B$5)-B101)/0.0001</f>
        <v>8.833763091615765</v>
      </c>
      <c r="I101" s="4" cm="1">
        <f t="array" ref="I101">(BScall($B$1-0.0001,$B$2,A101,$B$4,$B$5)-B101)/0.0001</f>
        <v>-2.2982549631223037</v>
      </c>
      <c r="J101" s="4">
        <f t="shared" si="7"/>
        <v>22.982549631223037</v>
      </c>
    </row>
    <row r="102" spans="1:10" x14ac:dyDescent="0.3">
      <c r="A102" s="4">
        <v>143</v>
      </c>
      <c r="B102" s="4" cm="1">
        <f t="array" ref="B102">BScall($B$1,$B$2,A102,$B$4,$B$5)</f>
        <v>44.776139834747504</v>
      </c>
      <c r="C102" s="4">
        <f t="shared" si="4"/>
        <v>44.488806039693742</v>
      </c>
      <c r="D102" s="4" cm="1">
        <f t="array" ref="D102">Bscall_delta($B$1,$B$2,A102,$B$4,$B$5)</f>
        <v>0.97519853042182025</v>
      </c>
      <c r="E102" s="4">
        <f t="shared" si="5"/>
        <v>48.75992652109101</v>
      </c>
      <c r="F102" s="4" cm="1">
        <f t="array" ref="F102">(Bscall_delta($B$1,$B$2,A102+0.0001,$B$4,$B$5)-D102)/0.0001</f>
        <v>2.0299090841557899E-3</v>
      </c>
      <c r="G102" s="4">
        <f t="shared" si="6"/>
        <v>5.0747727103894746</v>
      </c>
      <c r="H102" s="4" cm="1">
        <f t="array" ref="H102">(BScall($B$1,$B$2,A102,$B$4+0.0001,$B$5)-B102)/0.0001</f>
        <v>8.3091397754486707</v>
      </c>
      <c r="I102" s="4" cm="1">
        <f t="array" ref="I102">(BScall($B$1-0.0001,$B$2,A102,$B$4,$B$5)-B102)/0.0001</f>
        <v>-2.2503158266573564</v>
      </c>
      <c r="J102" s="4">
        <f t="shared" si="7"/>
        <v>22.503158266573564</v>
      </c>
    </row>
    <row r="103" spans="1:10" x14ac:dyDescent="0.3">
      <c r="A103" s="4">
        <v>144</v>
      </c>
      <c r="B103" s="4" cm="1">
        <f t="array" ref="B103">BScall($B$1,$B$2,A103,$B$4,$B$5)</f>
        <v>45.752328153204857</v>
      </c>
      <c r="C103" s="4">
        <f t="shared" si="4"/>
        <v>45.488806039693742</v>
      </c>
      <c r="D103" s="4" cm="1">
        <f t="array" ref="D103">Bscall_delta($B$1,$B$2,A103,$B$4,$B$5)</f>
        <v>0.97715335276885062</v>
      </c>
      <c r="E103" s="4">
        <f t="shared" si="5"/>
        <v>48.857667638442528</v>
      </c>
      <c r="F103" s="4" cm="1">
        <f t="array" ref="F103">(Bscall_delta($B$1,$B$2,A103+0.0001,$B$4,$B$5)-D103)/0.0001</f>
        <v>1.8813786162308332E-3</v>
      </c>
      <c r="G103" s="4">
        <f t="shared" si="6"/>
        <v>4.7034465405770831</v>
      </c>
      <c r="H103" s="4" cm="1">
        <f t="array" ref="H103">(BScall($B$1,$B$2,A103,$B$4+0.0001,$B$5)-B103)/0.0001</f>
        <v>7.8094928648653195</v>
      </c>
      <c r="I103" s="4" cm="1">
        <f t="array" ref="I103">(BScall($B$1-0.0001,$B$2,A103,$B$4,$B$5)-B103)/0.0001</f>
        <v>-2.2045763736855406</v>
      </c>
      <c r="J103" s="4">
        <f t="shared" si="7"/>
        <v>22.045763736855406</v>
      </c>
    </row>
    <row r="104" spans="1:10" x14ac:dyDescent="0.3">
      <c r="A104" s="4">
        <v>145</v>
      </c>
      <c r="B104" s="4" cm="1">
        <f t="array" ref="B104">BScall($B$1,$B$2,A104,$B$4,$B$5)</f>
        <v>46.730398664949995</v>
      </c>
      <c r="C104" s="4">
        <f t="shared" si="4"/>
        <v>46.488806039693742</v>
      </c>
      <c r="D104" s="4" cm="1">
        <f t="array" ref="D104">Bscall_delta($B$1,$B$2,A104,$B$4,$B$5)</f>
        <v>0.9789645320419722</v>
      </c>
      <c r="E104" s="4">
        <f t="shared" si="5"/>
        <v>48.948226602098607</v>
      </c>
      <c r="F104" s="4" cm="1">
        <f t="array" ref="F104">(Bscall_delta($B$1,$B$2,A104+0.0001,$B$4,$B$5)-D104)/0.0001</f>
        <v>1.7425385701042018E-3</v>
      </c>
      <c r="G104" s="4">
        <f t="shared" si="6"/>
        <v>4.3563464252605044</v>
      </c>
      <c r="H104" s="4" cm="1">
        <f t="array" ref="H104">(BScall($B$1,$B$2,A104,$B$4+0.0001,$B$5)-B104)/0.0001</f>
        <v>7.3342287890909574</v>
      </c>
      <c r="I104" s="4" cm="1">
        <f t="array" ref="I104">(BScall($B$1-0.0001,$B$2,A104,$B$4,$B$5)-B104)/0.0001</f>
        <v>-2.160994063160615</v>
      </c>
      <c r="J104" s="4">
        <f t="shared" si="7"/>
        <v>21.60994063160615</v>
      </c>
    </row>
    <row r="105" spans="1:10" x14ac:dyDescent="0.3">
      <c r="A105" s="4">
        <v>146</v>
      </c>
      <c r="B105" s="4" cm="1">
        <f t="array" ref="B105">BScall($B$1,$B$2,A105,$B$4,$B$5)</f>
        <v>47.710212487270994</v>
      </c>
      <c r="C105" s="4">
        <f t="shared" si="4"/>
        <v>47.488806039693742</v>
      </c>
      <c r="D105" s="4" cm="1">
        <f t="array" ref="D105">Bscall_delta($B$1,$B$2,A105,$B$4,$B$5)</f>
        <v>0.98064150458555333</v>
      </c>
      <c r="E105" s="4">
        <f t="shared" si="5"/>
        <v>49.032075229277666</v>
      </c>
      <c r="F105" s="4" cm="1">
        <f t="array" ref="F105">(Bscall_delta($B$1,$B$2,A105+0.0001,$B$4,$B$5)-D105)/0.0001</f>
        <v>1.6128826996197887E-3</v>
      </c>
      <c r="G105" s="4">
        <f t="shared" si="6"/>
        <v>4.0322067490494717</v>
      </c>
      <c r="H105" s="4" cm="1">
        <f t="array" ref="H105">(BScall($B$1,$B$2,A105,$B$4+0.0001,$B$5)-B105)/0.0001</f>
        <v>6.8827042287722406</v>
      </c>
      <c r="I105" s="4" cm="1">
        <f t="array" ref="I105">(BScall($B$1-0.0001,$B$2,A105,$B$4,$B$5)-B105)/0.0001</f>
        <v>-2.1195207151691875</v>
      </c>
      <c r="J105" s="4">
        <f t="shared" si="7"/>
        <v>21.195207151691875</v>
      </c>
    </row>
    <row r="106" spans="1:10" x14ac:dyDescent="0.3">
      <c r="A106" s="4">
        <v>147</v>
      </c>
      <c r="B106" s="4" cm="1">
        <f t="array" ref="B106">BScall($B$1,$B$2,A106,$B$4,$B$5)</f>
        <v>48.691639922704653</v>
      </c>
      <c r="C106" s="4">
        <f t="shared" si="4"/>
        <v>48.488806039693742</v>
      </c>
      <c r="D106" s="4" cm="1">
        <f t="array" ref="D106">Bscall_delta($B$1,$B$2,A106,$B$4,$B$5)</f>
        <v>0.98219320664850229</v>
      </c>
      <c r="E106" s="4">
        <f t="shared" si="5"/>
        <v>49.109660332425115</v>
      </c>
      <c r="F106" s="4" cm="1">
        <f t="array" ref="F106">(Bscall_delta($B$1,$B$2,A106+0.0001,$B$4,$B$5)-D106)/0.0001</f>
        <v>1.491917325235903E-3</v>
      </c>
      <c r="G106" s="4">
        <f t="shared" si="6"/>
        <v>3.7297933130897576</v>
      </c>
      <c r="H106" s="4" cm="1">
        <f t="array" ref="H106">(BScall($B$1,$B$2,A106,$B$4+0.0001,$B$5)-B106)/0.0001</f>
        <v>6.4542347270446498</v>
      </c>
      <c r="I106" s="4" cm="1">
        <f t="array" ref="I106">(BScall($B$1-0.0001,$B$2,A106,$B$4,$B$5)-B106)/0.0001</f>
        <v>-2.0801033674189284</v>
      </c>
      <c r="J106" s="4">
        <f t="shared" si="7"/>
        <v>20.801033674189284</v>
      </c>
    </row>
    <row r="107" spans="1:10" x14ac:dyDescent="0.3">
      <c r="A107" s="4">
        <v>148</v>
      </c>
      <c r="B107" s="4" cm="1">
        <f t="array" ref="B107">BScall($B$1,$B$2,A107,$B$4,$B$5)</f>
        <v>49.674559965477208</v>
      </c>
      <c r="C107" s="4">
        <f t="shared" si="4"/>
        <v>49.488806039693742</v>
      </c>
      <c r="D107" s="4" cm="1">
        <f t="array" ref="D107">Bscall_delta($B$1,$B$2,A107,$B$4,$B$5)</f>
        <v>0.98362808769569376</v>
      </c>
      <c r="E107" s="4">
        <f t="shared" si="5"/>
        <v>49.181404384784685</v>
      </c>
      <c r="F107" s="4" cm="1">
        <f t="array" ref="F107">(Bscall_delta($B$1,$B$2,A107+0.0001,$B$4,$B$5)-D107)/0.0001</f>
        <v>1.3791627762049785E-3</v>
      </c>
      <c r="G107" s="4">
        <f t="shared" si="6"/>
        <v>3.4479069405124463</v>
      </c>
      <c r="H107" s="4" cm="1">
        <f t="array" ref="H107">(BScall($B$1,$B$2,A107,$B$4+0.0001,$B$5)-B107)/0.0001</f>
        <v>6.0481026510217362</v>
      </c>
      <c r="I107" s="4" cm="1">
        <f t="array" ref="I107">(BScall($B$1-0.0001,$B$2,A107,$B$4,$B$5)-B107)/0.0001</f>
        <v>-2.0426850713306521</v>
      </c>
      <c r="J107" s="4">
        <f t="shared" si="7"/>
        <v>20.426850713306521</v>
      </c>
    </row>
    <row r="108" spans="1:10" x14ac:dyDescent="0.3">
      <c r="A108" s="4">
        <v>149</v>
      </c>
      <c r="B108" s="4" cm="1">
        <f t="array" ref="B108">BScall($B$1,$B$2,A108,$B$4,$B$5)</f>
        <v>50.658859821926356</v>
      </c>
      <c r="C108" s="4">
        <f t="shared" si="4"/>
        <v>50.488806039693742</v>
      </c>
      <c r="D108" s="4" cm="1">
        <f t="array" ref="D108">Bscall_delta($B$1,$B$2,A108,$B$4,$B$5)</f>
        <v>0.98495412501251789</v>
      </c>
      <c r="E108" s="4">
        <f t="shared" si="5"/>
        <v>49.247706250625896</v>
      </c>
      <c r="F108" s="4" cm="1">
        <f t="array" ref="F108">(Bscall_delta($B$1,$B$2,A108+0.0001,$B$4,$B$5)-D108)/0.0001</f>
        <v>1.274154535213512E-3</v>
      </c>
      <c r="G108" s="4">
        <f t="shared" si="6"/>
        <v>3.1853863380337799</v>
      </c>
      <c r="H108" s="4" cm="1">
        <f t="array" ref="H108">(BScall($B$1,$B$2,A108,$B$4+0.0001,$B$5)-B108)/0.0001</f>
        <v>5.6635645088221054</v>
      </c>
      <c r="I108" s="4" cm="1">
        <f t="array" ref="I108">(BScall($B$1-0.0001,$B$2,A108,$B$4,$B$5)-B108)/0.0001</f>
        <v>-2.0072056283737538</v>
      </c>
      <c r="J108" s="4">
        <f t="shared" si="7"/>
        <v>20.072056283737538</v>
      </c>
    </row>
    <row r="109" spans="1:10" x14ac:dyDescent="0.3">
      <c r="A109" s="4">
        <v>150</v>
      </c>
      <c r="B109" s="4" cm="1">
        <f t="array" ref="B109">BScall($B$1,$B$2,A109,$B$4,$B$5)</f>
        <v>51.644434446063123</v>
      </c>
      <c r="C109" s="4">
        <f t="shared" si="4"/>
        <v>51.488806039693742</v>
      </c>
      <c r="D109" s="4" cm="1">
        <f t="array" ref="D109">Bscall_delta($B$1,$B$2,A109,$B$4,$B$5)</f>
        <v>0.98617883933902639</v>
      </c>
      <c r="E109" s="4">
        <f t="shared" si="5"/>
        <v>49.308941966951316</v>
      </c>
      <c r="F109" s="4" cm="1">
        <f t="array" ref="F109">(Bscall_delta($B$1,$B$2,A109+0.0001,$B$4,$B$5)-D109)/0.0001</f>
        <v>1.1764441620876198E-3</v>
      </c>
      <c r="G109" s="4">
        <f t="shared" si="6"/>
        <v>2.9411104052190495</v>
      </c>
      <c r="H109" s="4" cm="1">
        <f t="array" ref="H109">(BScall($B$1,$B$2,A109,$B$4+0.0001,$B$5)-B109)/0.0001</f>
        <v>5.2998576432372602</v>
      </c>
      <c r="I109" s="4" cm="1">
        <f t="array" ref="I109">(BScall($B$1-0.0001,$B$2,A109,$B$4,$B$5)-B109)/0.0001</f>
        <v>-1.9736022645844287</v>
      </c>
      <c r="J109" s="4">
        <f t="shared" si="7"/>
        <v>19.736022645844287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8E51-8B7C-4917-A43F-5B3F517FB4BE}">
  <dimension ref="A1:B12"/>
  <sheetViews>
    <sheetView zoomScale="250" zoomScaleNormal="250" workbookViewId="0">
      <selection activeCell="B4" sqref="B4"/>
    </sheetView>
  </sheetViews>
  <sheetFormatPr baseColWidth="10" defaultRowHeight="12.45" x14ac:dyDescent="0.3"/>
  <sheetData>
    <row r="1" spans="1:2" x14ac:dyDescent="0.3">
      <c r="A1" s="1" t="s">
        <v>0</v>
      </c>
      <c r="B1">
        <v>0.25</v>
      </c>
    </row>
    <row r="2" spans="1:2" x14ac:dyDescent="0.3">
      <c r="A2" s="1" t="s">
        <v>1</v>
      </c>
      <c r="B2">
        <v>100</v>
      </c>
    </row>
    <row r="3" spans="1:2" x14ac:dyDescent="0.3">
      <c r="A3" s="1" t="s">
        <v>2</v>
      </c>
      <c r="B3">
        <v>188</v>
      </c>
    </row>
    <row r="4" spans="1:2" x14ac:dyDescent="0.3">
      <c r="A4" s="1" t="s">
        <v>3</v>
      </c>
      <c r="B4" s="2">
        <v>0.16</v>
      </c>
    </row>
    <row r="5" spans="1:2" x14ac:dyDescent="0.3">
      <c r="A5" s="1" t="s">
        <v>4</v>
      </c>
      <c r="B5" s="2">
        <v>0.03</v>
      </c>
    </row>
    <row r="6" spans="1:2" x14ac:dyDescent="0.3">
      <c r="A6" s="1"/>
      <c r="B6" s="2"/>
    </row>
    <row r="8" spans="1:2" x14ac:dyDescent="0.3">
      <c r="A8" s="1" t="s">
        <v>5</v>
      </c>
      <c r="B8" cm="1">
        <f t="array" ref="B8">BScall(B1,B2,B3,B4,B5)</f>
        <v>88.747194518086147</v>
      </c>
    </row>
    <row r="9" spans="1:2" x14ac:dyDescent="0.3">
      <c r="A9" s="1" t="s">
        <v>6</v>
      </c>
      <c r="B9" cm="1">
        <f t="array" ref="B9">BSput(B1,B2,B3,B4,B5)</f>
        <v>9.3551825108819219E-16</v>
      </c>
    </row>
    <row r="11" spans="1:2" x14ac:dyDescent="0.3">
      <c r="A11" s="1" t="s">
        <v>7</v>
      </c>
      <c r="B11">
        <f>B8-B9</f>
        <v>88.747194518086147</v>
      </c>
    </row>
    <row r="12" spans="1:2" x14ac:dyDescent="0.3">
      <c r="A12" s="1" t="s">
        <v>8</v>
      </c>
      <c r="B12">
        <f>B3-B2*EXP(-B5*B1)</f>
        <v>88.747194518086161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5AC14-F556-4559-AF23-FC9C5B944BB3}">
  <dimension ref="A1:D7"/>
  <sheetViews>
    <sheetView tabSelected="1" zoomScale="160" zoomScaleNormal="160" workbookViewId="0">
      <selection activeCell="D7" sqref="D7"/>
    </sheetView>
  </sheetViews>
  <sheetFormatPr baseColWidth="10" defaultRowHeight="12.45" x14ac:dyDescent="0.3"/>
  <cols>
    <col min="2" max="4" width="12" bestFit="1" customWidth="1"/>
  </cols>
  <sheetData>
    <row r="1" spans="1:4" x14ac:dyDescent="0.3">
      <c r="A1" s="1" t="s">
        <v>34</v>
      </c>
      <c r="B1">
        <f>1/365</f>
        <v>2.7397260273972603E-3</v>
      </c>
    </row>
    <row r="2" spans="1:4" x14ac:dyDescent="0.3">
      <c r="A2" s="1" t="s">
        <v>35</v>
      </c>
      <c r="B2" s="8">
        <v>0.05</v>
      </c>
    </row>
    <row r="3" spans="1:4" x14ac:dyDescent="0.3">
      <c r="A3" s="1" t="s">
        <v>3</v>
      </c>
      <c r="B3" s="2">
        <v>0.2</v>
      </c>
    </row>
    <row r="4" spans="1:4" x14ac:dyDescent="0.3">
      <c r="A4" s="1" t="s">
        <v>36</v>
      </c>
      <c r="B4" s="8">
        <v>0.08</v>
      </c>
    </row>
    <row r="6" spans="1:4" x14ac:dyDescent="0.3">
      <c r="A6" s="1" t="s">
        <v>37</v>
      </c>
      <c r="B6">
        <f>(LN(1-B4)-(B2-B3^2/2)*B1)/(B3*SQRT(B1))</f>
        <v>-7.9728683689927919</v>
      </c>
    </row>
    <row r="7" spans="1:4" x14ac:dyDescent="0.3">
      <c r="A7" s="1" t="s">
        <v>38</v>
      </c>
      <c r="B7">
        <f>_xlfn.NORM.S.DIST(B6,TRUE)</f>
        <v>7.7516638575761846E-16</v>
      </c>
      <c r="C7">
        <f>1/B7</f>
        <v>1290045619073945.8</v>
      </c>
      <c r="D7">
        <f>C7/365</f>
        <v>3534371559106.7007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Graphiques</vt:lpstr>
      </vt:variant>
      <vt:variant>
        <vt:i4>2</vt:i4>
      </vt:variant>
    </vt:vector>
  </HeadingPairs>
  <TitlesOfParts>
    <vt:vector size="11" baseType="lpstr">
      <vt:lpstr>Call Orange</vt:lpstr>
      <vt:lpstr>Call BS</vt:lpstr>
      <vt:lpstr>Smile</vt:lpstr>
      <vt:lpstr>Call en fct S0</vt:lpstr>
      <vt:lpstr>Put deep ITM</vt:lpstr>
      <vt:lpstr>Approx call put ATMF</vt:lpstr>
      <vt:lpstr>Grecques</vt:lpstr>
      <vt:lpstr>Exo 2 révision</vt:lpstr>
      <vt:lpstr>Exo 3 révision</vt:lpstr>
      <vt:lpstr>Graph call en fct de S0</vt:lpstr>
      <vt:lpstr>Graph grecques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Antonin Chaix</cp:lastModifiedBy>
  <dcterms:created xsi:type="dcterms:W3CDTF">2008-04-09T19:25:45Z</dcterms:created>
  <dcterms:modified xsi:type="dcterms:W3CDTF">2025-09-23T14:37:29Z</dcterms:modified>
</cp:coreProperties>
</file>