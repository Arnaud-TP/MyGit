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Instruments Financiers\My supports\2025\Ressources cours Instruments Financiers\1 - Taux\"/>
    </mc:Choice>
  </mc:AlternateContent>
  <xr:revisionPtr revIDLastSave="0" documentId="13_ncr:1_{3E2CE042-4200-4816-824C-060FFCE18B94}" xr6:coauthVersionLast="47" xr6:coauthVersionMax="47" xr10:uidLastSave="{00000000-0000-0000-0000-000000000000}"/>
  <bookViews>
    <workbookView xWindow="-103" yWindow="-103" windowWidth="24892" windowHeight="15634" xr2:uid="{E2F087FD-E1F5-449E-AED2-DAB1262B4FB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F27" i="1"/>
  <c r="F28" i="1" s="1"/>
  <c r="F29" i="1" s="1"/>
  <c r="F26" i="1"/>
  <c r="B27" i="1"/>
  <c r="B28" i="1" s="1"/>
  <c r="B26" i="1"/>
  <c r="D27" i="1"/>
  <c r="D26" i="1"/>
  <c r="D25" i="1"/>
  <c r="D18" i="1"/>
  <c r="D12" i="1"/>
  <c r="D13" i="1"/>
  <c r="D14" i="1"/>
  <c r="D15" i="1"/>
  <c r="D11" i="1"/>
  <c r="D17" i="1" s="1"/>
  <c r="D19" i="1" s="1"/>
  <c r="B29" i="1" l="1"/>
  <c r="D29" i="1" s="1"/>
  <c r="D28" i="1"/>
  <c r="D31" i="1"/>
  <c r="D33" i="1" s="1"/>
</calcChain>
</file>

<file path=xl/sharedStrings.xml><?xml version="1.0" encoding="utf-8"?>
<sst xmlns="http://schemas.openxmlformats.org/spreadsheetml/2006/main" count="22" uniqueCount="13">
  <si>
    <t>Le taux Euribor est à 0%, le taux swap 5 ans à 1% et le taux swap 10 ans à 2%</t>
  </si>
  <si>
    <t>Je traite aujourd'hui un swap 10 ans payeur et le conserve pendant 5 ans</t>
  </si>
  <si>
    <t xml:space="preserve">Calculer le carry total du swap pendant les 5 ans et le MtM du swap dans les 2 scénarios suivants : </t>
  </si>
  <si>
    <t>2/ La courbe des taux se translate de +50bp par an pendant les 5 années</t>
  </si>
  <si>
    <t>1/ La courbe des taux demeure inchangée pendant les 5 années</t>
  </si>
  <si>
    <t>Année</t>
  </si>
  <si>
    <t>Euribor</t>
  </si>
  <si>
    <t>Taux fixe</t>
  </si>
  <si>
    <t>Carry</t>
  </si>
  <si>
    <t>Carry total</t>
  </si>
  <si>
    <t>MtM ds 5 ans</t>
  </si>
  <si>
    <t>TOTAL</t>
  </si>
  <si>
    <t>Taux swap 5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</si>
</sst>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B7F5-74EE-41FF-A400-96AA6C898976}">
  <dimension ref="A1:F33"/>
  <sheetViews>
    <sheetView tabSelected="1" zoomScale="115" zoomScaleNormal="115" workbookViewId="0">
      <selection activeCell="H28" sqref="H28"/>
    </sheetView>
  </sheetViews>
  <sheetFormatPr baseColWidth="10" defaultRowHeight="14.6" x14ac:dyDescent="0.4"/>
  <cols>
    <col min="4" max="4" width="11.61328125" bestFit="1" customWidth="1"/>
  </cols>
  <sheetData>
    <row r="1" spans="1:4" x14ac:dyDescent="0.4">
      <c r="A1" s="1" t="s">
        <v>0</v>
      </c>
    </row>
    <row r="2" spans="1:4" x14ac:dyDescent="0.4">
      <c r="A2" t="s">
        <v>1</v>
      </c>
    </row>
    <row r="3" spans="1:4" x14ac:dyDescent="0.4">
      <c r="A3" t="s">
        <v>2</v>
      </c>
    </row>
    <row r="4" spans="1:4" x14ac:dyDescent="0.4">
      <c r="A4" t="s">
        <v>4</v>
      </c>
    </row>
    <row r="5" spans="1:4" x14ac:dyDescent="0.4">
      <c r="A5" t="s">
        <v>3</v>
      </c>
    </row>
    <row r="8" spans="1:4" x14ac:dyDescent="0.4">
      <c r="A8" s="1" t="s">
        <v>4</v>
      </c>
    </row>
    <row r="10" spans="1:4" x14ac:dyDescent="0.4">
      <c r="A10" s="6" t="s">
        <v>5</v>
      </c>
      <c r="B10" s="6" t="s">
        <v>6</v>
      </c>
      <c r="C10" s="6" t="s">
        <v>7</v>
      </c>
      <c r="D10" s="6" t="s">
        <v>8</v>
      </c>
    </row>
    <row r="11" spans="1:4" x14ac:dyDescent="0.4">
      <c r="A11" s="3">
        <v>1</v>
      </c>
      <c r="B11" s="4">
        <v>0</v>
      </c>
      <c r="C11" s="4">
        <v>0.02</v>
      </c>
      <c r="D11" s="5">
        <f>100000000*(B11-C11)</f>
        <v>-2000000</v>
      </c>
    </row>
    <row r="12" spans="1:4" x14ac:dyDescent="0.4">
      <c r="A12" s="3">
        <v>2</v>
      </c>
      <c r="B12" s="4">
        <v>0</v>
      </c>
      <c r="C12" s="4">
        <v>0.02</v>
      </c>
      <c r="D12" s="5">
        <f t="shared" ref="D12:D15" si="0">100000000*(B12-C12)</f>
        <v>-2000000</v>
      </c>
    </row>
    <row r="13" spans="1:4" x14ac:dyDescent="0.4">
      <c r="A13" s="3">
        <v>3</v>
      </c>
      <c r="B13" s="4">
        <v>0</v>
      </c>
      <c r="C13" s="4">
        <v>0.02</v>
      </c>
      <c r="D13" s="5">
        <f t="shared" si="0"/>
        <v>-2000000</v>
      </c>
    </row>
    <row r="14" spans="1:4" x14ac:dyDescent="0.4">
      <c r="A14" s="3">
        <v>4</v>
      </c>
      <c r="B14" s="4">
        <v>0</v>
      </c>
      <c r="C14" s="4">
        <v>0.02</v>
      </c>
      <c r="D14" s="5">
        <f t="shared" si="0"/>
        <v>-2000000</v>
      </c>
    </row>
    <row r="15" spans="1:4" x14ac:dyDescent="0.4">
      <c r="A15" s="3">
        <v>5</v>
      </c>
      <c r="B15" s="4">
        <v>0</v>
      </c>
      <c r="C15" s="4">
        <v>0.02</v>
      </c>
      <c r="D15" s="5">
        <f t="shared" si="0"/>
        <v>-2000000</v>
      </c>
    </row>
    <row r="17" spans="1:6" x14ac:dyDescent="0.4">
      <c r="C17" t="s">
        <v>9</v>
      </c>
      <c r="D17" s="2">
        <f>SUM(D11:D15)</f>
        <v>-10000000</v>
      </c>
    </row>
    <row r="18" spans="1:6" x14ac:dyDescent="0.4">
      <c r="C18" t="s">
        <v>10</v>
      </c>
      <c r="D18" s="2">
        <f>100000000*5*(1%-2%)</f>
        <v>-5000000</v>
      </c>
    </row>
    <row r="19" spans="1:6" x14ac:dyDescent="0.4">
      <c r="C19" t="s">
        <v>11</v>
      </c>
      <c r="D19" s="2">
        <f>SUM(D17:D18)</f>
        <v>-15000000</v>
      </c>
    </row>
    <row r="22" spans="1:6" x14ac:dyDescent="0.4">
      <c r="A22" s="1" t="s">
        <v>3</v>
      </c>
    </row>
    <row r="24" spans="1:6" x14ac:dyDescent="0.4">
      <c r="A24" s="6" t="s">
        <v>5</v>
      </c>
      <c r="B24" s="6" t="s">
        <v>6</v>
      </c>
      <c r="C24" s="6" t="s">
        <v>7</v>
      </c>
      <c r="D24" s="6" t="s">
        <v>8</v>
      </c>
      <c r="F24" s="6" t="s">
        <v>12</v>
      </c>
    </row>
    <row r="25" spans="1:6" x14ac:dyDescent="0.4">
      <c r="A25" s="3">
        <v>1</v>
      </c>
      <c r="B25" s="7">
        <v>0</v>
      </c>
      <c r="C25" s="4">
        <v>0.02</v>
      </c>
      <c r="D25" s="5">
        <f>100000000*(B25-C25)</f>
        <v>-2000000</v>
      </c>
      <c r="F25" s="7">
        <v>0.01</v>
      </c>
    </row>
    <row r="26" spans="1:6" x14ac:dyDescent="0.4">
      <c r="A26" s="3">
        <v>2</v>
      </c>
      <c r="B26" s="7">
        <f>B25+0.5%</f>
        <v>5.0000000000000001E-3</v>
      </c>
      <c r="C26" s="4">
        <v>0.02</v>
      </c>
      <c r="D26" s="5">
        <f t="shared" ref="D26:D29" si="1">100000000*(B26-C26)</f>
        <v>-1500000</v>
      </c>
      <c r="F26" s="7">
        <f>F25+0.5%</f>
        <v>1.4999999999999999E-2</v>
      </c>
    </row>
    <row r="27" spans="1:6" x14ac:dyDescent="0.4">
      <c r="A27" s="3">
        <v>3</v>
      </c>
      <c r="B27" s="7">
        <f t="shared" ref="B27:B29" si="2">B26+0.5%</f>
        <v>0.01</v>
      </c>
      <c r="C27" s="4">
        <v>0.02</v>
      </c>
      <c r="D27" s="5">
        <f t="shared" si="1"/>
        <v>-1000000</v>
      </c>
      <c r="F27" s="7">
        <f t="shared" ref="F27:F29" si="3">F26+0.5%</f>
        <v>0.02</v>
      </c>
    </row>
    <row r="28" spans="1:6" x14ac:dyDescent="0.4">
      <c r="A28" s="3">
        <v>4</v>
      </c>
      <c r="B28" s="7">
        <f t="shared" si="2"/>
        <v>1.4999999999999999E-2</v>
      </c>
      <c r="C28" s="4">
        <v>0.02</v>
      </c>
      <c r="D28" s="5">
        <f t="shared" si="1"/>
        <v>-500000.00000000012</v>
      </c>
      <c r="F28" s="7">
        <f t="shared" si="3"/>
        <v>2.5000000000000001E-2</v>
      </c>
    </row>
    <row r="29" spans="1:6" x14ac:dyDescent="0.4">
      <c r="A29" s="3">
        <v>5</v>
      </c>
      <c r="B29" s="7">
        <f t="shared" si="2"/>
        <v>0.02</v>
      </c>
      <c r="C29" s="4">
        <v>0.02</v>
      </c>
      <c r="D29" s="5">
        <f t="shared" si="1"/>
        <v>0</v>
      </c>
      <c r="F29" s="7">
        <f t="shared" si="3"/>
        <v>3.0000000000000002E-2</v>
      </c>
    </row>
    <row r="31" spans="1:6" x14ac:dyDescent="0.4">
      <c r="C31" t="s">
        <v>9</v>
      </c>
      <c r="D31" s="2">
        <f>SUM(D25:D29)</f>
        <v>-5000000</v>
      </c>
    </row>
    <row r="32" spans="1:6" x14ac:dyDescent="0.4">
      <c r="C32" t="s">
        <v>10</v>
      </c>
      <c r="D32" s="2">
        <f>100000000*5*(3%-2%)</f>
        <v>4999999.9999999991</v>
      </c>
    </row>
    <row r="33" spans="3:4" x14ac:dyDescent="0.4">
      <c r="C33" t="s">
        <v>11</v>
      </c>
      <c r="D33" s="2">
        <f>SUM(D31:D32)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2025-09-12T12:24:22Z</dcterms:created>
  <dcterms:modified xsi:type="dcterms:W3CDTF">2025-09-12T20:57:55Z</dcterms:modified>
</cp:coreProperties>
</file>