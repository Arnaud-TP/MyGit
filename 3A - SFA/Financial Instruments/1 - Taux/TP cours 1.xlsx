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Mon Drive\Supports formations\ENSAE - Instruments Financiers\My supports\2025\Ressources cours Instruments Financiers\1 - Taux\"/>
    </mc:Choice>
  </mc:AlternateContent>
  <xr:revisionPtr revIDLastSave="0" documentId="13_ncr:1_{B8578D58-3E86-432F-8456-59E634CFAC70}" xr6:coauthVersionLast="47" xr6:coauthVersionMax="47" xr10:uidLastSave="{00000000-0000-0000-0000-000000000000}"/>
  <bookViews>
    <workbookView xWindow="-103" yWindow="-103" windowWidth="24892" windowHeight="15634" activeTab="1" xr2:uid="{D9368F2E-BDB9-4E2C-9178-61FBE08C3FCF}"/>
  </bookViews>
  <sheets>
    <sheet name="Calcul actuariel" sheetId="1" r:id="rId1"/>
    <sheet name="Exo bootstrap ZC obl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D10" i="2"/>
  <c r="D9" i="2"/>
  <c r="E5" i="2"/>
  <c r="E4" i="2"/>
  <c r="E3" i="2"/>
  <c r="E2" i="2"/>
  <c r="D5" i="2"/>
  <c r="D4" i="2"/>
  <c r="D3" i="2"/>
  <c r="D2" i="2"/>
  <c r="D14" i="2" l="1"/>
  <c r="E106" i="1"/>
  <c r="B101" i="1"/>
  <c r="C107" i="1" s="1"/>
  <c r="B100" i="1"/>
  <c r="B102" i="1" s="1"/>
  <c r="G82" i="1"/>
  <c r="C83" i="1"/>
  <c r="E82" i="1"/>
  <c r="B79" i="1"/>
  <c r="B88" i="1" s="1"/>
  <c r="E64" i="1"/>
  <c r="E63" i="1"/>
  <c r="E62" i="1"/>
  <c r="E61" i="1"/>
  <c r="E60" i="1"/>
  <c r="E59" i="1"/>
  <c r="C60" i="1"/>
  <c r="C61" i="1"/>
  <c r="C62" i="1"/>
  <c r="C63" i="1"/>
  <c r="C64" i="1"/>
  <c r="C59" i="1"/>
  <c r="D40" i="1"/>
  <c r="F45" i="1"/>
  <c r="F44" i="1"/>
  <c r="F43" i="1"/>
  <c r="C40" i="1"/>
  <c r="C45" i="1"/>
  <c r="C44" i="1"/>
  <c r="C43" i="1"/>
  <c r="G33" i="1"/>
  <c r="G32" i="1"/>
  <c r="F31" i="1"/>
  <c r="E31" i="1"/>
  <c r="G31" i="1" s="1"/>
  <c r="C33" i="1"/>
  <c r="C32" i="1"/>
  <c r="C31" i="1"/>
  <c r="D19" i="1"/>
  <c r="D20" i="1" s="1"/>
  <c r="D21" i="1"/>
  <c r="C21" i="1"/>
  <c r="C20" i="1"/>
  <c r="B6" i="1"/>
  <c r="B5" i="1"/>
  <c r="B4" i="1"/>
  <c r="G88" i="1" l="1"/>
  <c r="B122" i="1"/>
  <c r="B138" i="1"/>
  <c r="B154" i="1"/>
  <c r="B170" i="1"/>
  <c r="B186" i="1"/>
  <c r="B202" i="1"/>
  <c r="B218" i="1"/>
  <c r="B234" i="1"/>
  <c r="B250" i="1"/>
  <c r="B266" i="1"/>
  <c r="B282" i="1"/>
  <c r="B175" i="1"/>
  <c r="B107" i="1"/>
  <c r="D107" i="1" s="1"/>
  <c r="E107" i="1" s="1"/>
  <c r="C108" i="1" s="1"/>
  <c r="D108" i="1" s="1"/>
  <c r="E108" i="1" s="1"/>
  <c r="B123" i="1"/>
  <c r="B139" i="1"/>
  <c r="B155" i="1"/>
  <c r="B171" i="1"/>
  <c r="B187" i="1"/>
  <c r="B203" i="1"/>
  <c r="B219" i="1"/>
  <c r="B235" i="1"/>
  <c r="B251" i="1"/>
  <c r="B267" i="1"/>
  <c r="B283" i="1"/>
  <c r="B159" i="1"/>
  <c r="B239" i="1"/>
  <c r="B108" i="1"/>
  <c r="B109" i="1"/>
  <c r="B125" i="1"/>
  <c r="B141" i="1"/>
  <c r="B157" i="1"/>
  <c r="B173" i="1"/>
  <c r="B189" i="1"/>
  <c r="B205" i="1"/>
  <c r="B221" i="1"/>
  <c r="B237" i="1"/>
  <c r="B253" i="1"/>
  <c r="B269" i="1"/>
  <c r="B285" i="1"/>
  <c r="B110" i="1"/>
  <c r="B126" i="1"/>
  <c r="B142" i="1"/>
  <c r="B158" i="1"/>
  <c r="B174" i="1"/>
  <c r="B190" i="1"/>
  <c r="B206" i="1"/>
  <c r="B222" i="1"/>
  <c r="B238" i="1"/>
  <c r="B254" i="1"/>
  <c r="B270" i="1"/>
  <c r="B286" i="1"/>
  <c r="B111" i="1"/>
  <c r="B112" i="1"/>
  <c r="B128" i="1"/>
  <c r="B144" i="1"/>
  <c r="B160" i="1"/>
  <c r="B176" i="1"/>
  <c r="B192" i="1"/>
  <c r="B208" i="1"/>
  <c r="B224" i="1"/>
  <c r="B240" i="1"/>
  <c r="B256" i="1"/>
  <c r="B272" i="1"/>
  <c r="B103" i="1"/>
  <c r="B113" i="1"/>
  <c r="B129" i="1"/>
  <c r="B145" i="1"/>
  <c r="B161" i="1"/>
  <c r="B177" i="1"/>
  <c r="B193" i="1"/>
  <c r="B209" i="1"/>
  <c r="B225" i="1"/>
  <c r="B241" i="1"/>
  <c r="B257" i="1"/>
  <c r="B273" i="1"/>
  <c r="B114" i="1"/>
  <c r="B130" i="1"/>
  <c r="B146" i="1"/>
  <c r="B162" i="1"/>
  <c r="B178" i="1"/>
  <c r="B194" i="1"/>
  <c r="B210" i="1"/>
  <c r="B226" i="1"/>
  <c r="B242" i="1"/>
  <c r="B258" i="1"/>
  <c r="B274" i="1"/>
  <c r="B115" i="1"/>
  <c r="B131" i="1"/>
  <c r="B147" i="1"/>
  <c r="B163" i="1"/>
  <c r="B179" i="1"/>
  <c r="B195" i="1"/>
  <c r="B211" i="1"/>
  <c r="B227" i="1"/>
  <c r="B243" i="1"/>
  <c r="B259" i="1"/>
  <c r="B275" i="1"/>
  <c r="B127" i="1"/>
  <c r="B255" i="1"/>
  <c r="B116" i="1"/>
  <c r="B132" i="1"/>
  <c r="B148" i="1"/>
  <c r="B164" i="1"/>
  <c r="B180" i="1"/>
  <c r="B196" i="1"/>
  <c r="B212" i="1"/>
  <c r="B228" i="1"/>
  <c r="B244" i="1"/>
  <c r="B260" i="1"/>
  <c r="B276" i="1"/>
  <c r="B117" i="1"/>
  <c r="B133" i="1"/>
  <c r="B149" i="1"/>
  <c r="B165" i="1"/>
  <c r="B181" i="1"/>
  <c r="B197" i="1"/>
  <c r="B213" i="1"/>
  <c r="B229" i="1"/>
  <c r="B245" i="1"/>
  <c r="B261" i="1"/>
  <c r="B277" i="1"/>
  <c r="B268" i="1"/>
  <c r="B191" i="1"/>
  <c r="B118" i="1"/>
  <c r="B134" i="1"/>
  <c r="B150" i="1"/>
  <c r="B166" i="1"/>
  <c r="B182" i="1"/>
  <c r="B198" i="1"/>
  <c r="B214" i="1"/>
  <c r="B230" i="1"/>
  <c r="B246" i="1"/>
  <c r="B262" i="1"/>
  <c r="B278" i="1"/>
  <c r="B185" i="1"/>
  <c r="B143" i="1"/>
  <c r="B223" i="1"/>
  <c r="B271" i="1"/>
  <c r="B119" i="1"/>
  <c r="B135" i="1"/>
  <c r="B151" i="1"/>
  <c r="B167" i="1"/>
  <c r="B183" i="1"/>
  <c r="B199" i="1"/>
  <c r="B215" i="1"/>
  <c r="B231" i="1"/>
  <c r="B247" i="1"/>
  <c r="B263" i="1"/>
  <c r="B279" i="1"/>
  <c r="B121" i="1"/>
  <c r="B153" i="1"/>
  <c r="B169" i="1"/>
  <c r="B217" i="1"/>
  <c r="B233" i="1"/>
  <c r="B265" i="1"/>
  <c r="B124" i="1"/>
  <c r="B140" i="1"/>
  <c r="B156" i="1"/>
  <c r="B172" i="1"/>
  <c r="B188" i="1"/>
  <c r="B204" i="1"/>
  <c r="B220" i="1"/>
  <c r="B236" i="1"/>
  <c r="B252" i="1"/>
  <c r="B284" i="1"/>
  <c r="B207" i="1"/>
  <c r="B120" i="1"/>
  <c r="B136" i="1"/>
  <c r="B152" i="1"/>
  <c r="B168" i="1"/>
  <c r="B184" i="1"/>
  <c r="B200" i="1"/>
  <c r="B216" i="1"/>
  <c r="B232" i="1"/>
  <c r="B248" i="1"/>
  <c r="B264" i="1"/>
  <c r="B280" i="1"/>
  <c r="B137" i="1"/>
  <c r="B201" i="1"/>
  <c r="B249" i="1"/>
  <c r="B281" i="1"/>
  <c r="B90" i="1"/>
  <c r="G90" i="1" s="1"/>
  <c r="B83" i="1"/>
  <c r="B89" i="1"/>
  <c r="G89" i="1" s="1"/>
  <c r="B91" i="1"/>
  <c r="G91" i="1" s="1"/>
  <c r="B92" i="1"/>
  <c r="G92" i="1" s="1"/>
  <c r="B84" i="1"/>
  <c r="B85" i="1"/>
  <c r="B86" i="1"/>
  <c r="B87" i="1"/>
  <c r="B80" i="1"/>
  <c r="D22" i="1"/>
  <c r="C56" i="1"/>
  <c r="C66" i="1"/>
  <c r="C22" i="1"/>
  <c r="C47" i="1"/>
  <c r="C35" i="1"/>
  <c r="C109" i="1" l="1"/>
  <c r="D109" i="1" s="1"/>
  <c r="E109" i="1"/>
  <c r="G86" i="1"/>
  <c r="G87" i="1"/>
  <c r="G85" i="1"/>
  <c r="G84" i="1"/>
  <c r="G83" i="1"/>
  <c r="G79" i="1" s="1"/>
  <c r="B94" i="1"/>
  <c r="D83" i="1"/>
  <c r="C110" i="1"/>
  <c r="D110" i="1" s="1"/>
  <c r="E110" i="1" s="1"/>
  <c r="E83" i="1" l="1"/>
  <c r="C111" i="1"/>
  <c r="D111" i="1" s="1"/>
  <c r="E111" i="1"/>
  <c r="C84" i="1" l="1"/>
  <c r="C112" i="1"/>
  <c r="D112" i="1" s="1"/>
  <c r="E112" i="1"/>
  <c r="D84" i="1" l="1"/>
  <c r="C113" i="1"/>
  <c r="D113" i="1" s="1"/>
  <c r="E113" i="1" s="1"/>
  <c r="E84" i="1" l="1"/>
  <c r="C114" i="1"/>
  <c r="D114" i="1" s="1"/>
  <c r="E114" i="1"/>
  <c r="C85" i="1" l="1"/>
  <c r="C115" i="1"/>
  <c r="D115" i="1" s="1"/>
  <c r="E115" i="1"/>
  <c r="D85" i="1" l="1"/>
  <c r="C116" i="1"/>
  <c r="D116" i="1" s="1"/>
  <c r="E116" i="1"/>
  <c r="E85" i="1" l="1"/>
  <c r="C117" i="1"/>
  <c r="D117" i="1" s="1"/>
  <c r="E117" i="1"/>
  <c r="C86" i="1" l="1"/>
  <c r="C118" i="1"/>
  <c r="D118" i="1" s="1"/>
  <c r="E118" i="1" s="1"/>
  <c r="D86" i="1" l="1"/>
  <c r="C119" i="1"/>
  <c r="D119" i="1" s="1"/>
  <c r="E119" i="1"/>
  <c r="E86" i="1" l="1"/>
  <c r="C120" i="1"/>
  <c r="D120" i="1" s="1"/>
  <c r="E120" i="1"/>
  <c r="C87" i="1" l="1"/>
  <c r="C121" i="1"/>
  <c r="D121" i="1" s="1"/>
  <c r="E121" i="1" s="1"/>
  <c r="D87" i="1" l="1"/>
  <c r="C122" i="1"/>
  <c r="D122" i="1" s="1"/>
  <c r="E122" i="1" s="1"/>
  <c r="E87" i="1" l="1"/>
  <c r="C123" i="1"/>
  <c r="D123" i="1" s="1"/>
  <c r="E123" i="1" s="1"/>
  <c r="C88" i="1" l="1"/>
  <c r="C124" i="1"/>
  <c r="D124" i="1" s="1"/>
  <c r="E124" i="1" s="1"/>
  <c r="D88" i="1" l="1"/>
  <c r="E88" i="1" s="1"/>
  <c r="C125" i="1"/>
  <c r="D125" i="1" s="1"/>
  <c r="E125" i="1"/>
  <c r="C89" i="1" l="1"/>
  <c r="D89" i="1" s="1"/>
  <c r="E89" i="1" s="1"/>
  <c r="C126" i="1"/>
  <c r="D126" i="1" s="1"/>
  <c r="E126" i="1" s="1"/>
  <c r="C90" i="1" l="1"/>
  <c r="D90" i="1" s="1"/>
  <c r="E90" i="1" s="1"/>
  <c r="C127" i="1"/>
  <c r="D127" i="1" s="1"/>
  <c r="E127" i="1" s="1"/>
  <c r="C91" i="1" l="1"/>
  <c r="D91" i="1" s="1"/>
  <c r="E91" i="1"/>
  <c r="C128" i="1"/>
  <c r="D128" i="1" s="1"/>
  <c r="E128" i="1" s="1"/>
  <c r="C92" i="1" l="1"/>
  <c r="C129" i="1"/>
  <c r="D129" i="1" s="1"/>
  <c r="E129" i="1" s="1"/>
  <c r="D92" i="1" l="1"/>
  <c r="C94" i="1"/>
  <c r="C130" i="1"/>
  <c r="D130" i="1" s="1"/>
  <c r="E130" i="1" s="1"/>
  <c r="D94" i="1" l="1"/>
  <c r="E92" i="1"/>
  <c r="C131" i="1"/>
  <c r="D131" i="1" s="1"/>
  <c r="E131" i="1"/>
  <c r="C132" i="1" l="1"/>
  <c r="D132" i="1" s="1"/>
  <c r="E132" i="1"/>
  <c r="C133" i="1" l="1"/>
  <c r="D133" i="1" s="1"/>
  <c r="E133" i="1"/>
  <c r="C134" i="1" l="1"/>
  <c r="D134" i="1" s="1"/>
  <c r="E134" i="1" s="1"/>
  <c r="C135" i="1" l="1"/>
  <c r="D135" i="1" s="1"/>
  <c r="E135" i="1" s="1"/>
  <c r="C136" i="1" l="1"/>
  <c r="D136" i="1" s="1"/>
  <c r="E136" i="1"/>
  <c r="C137" i="1" l="1"/>
  <c r="D137" i="1" s="1"/>
  <c r="E137" i="1"/>
  <c r="C138" i="1" l="1"/>
  <c r="D138" i="1" s="1"/>
  <c r="E138" i="1" s="1"/>
  <c r="C139" i="1" l="1"/>
  <c r="D139" i="1" s="1"/>
  <c r="E139" i="1" s="1"/>
  <c r="C140" i="1" l="1"/>
  <c r="D140" i="1" s="1"/>
  <c r="E140" i="1"/>
  <c r="C141" i="1" l="1"/>
  <c r="D141" i="1" s="1"/>
  <c r="E141" i="1"/>
  <c r="C142" i="1" l="1"/>
  <c r="D142" i="1" s="1"/>
  <c r="E142" i="1"/>
  <c r="C143" i="1" l="1"/>
  <c r="D143" i="1" s="1"/>
  <c r="E143" i="1" s="1"/>
  <c r="C144" i="1" l="1"/>
  <c r="D144" i="1" s="1"/>
  <c r="E144" i="1" s="1"/>
  <c r="C145" i="1" l="1"/>
  <c r="D145" i="1" s="1"/>
  <c r="E145" i="1" s="1"/>
  <c r="C146" i="1" l="1"/>
  <c r="D146" i="1" s="1"/>
  <c r="E146" i="1"/>
  <c r="C147" i="1" l="1"/>
  <c r="D147" i="1" s="1"/>
  <c r="E147" i="1"/>
  <c r="C148" i="1" l="1"/>
  <c r="D148" i="1" s="1"/>
  <c r="E148" i="1"/>
  <c r="C149" i="1" l="1"/>
  <c r="D149" i="1" s="1"/>
  <c r="E149" i="1"/>
  <c r="C150" i="1" l="1"/>
  <c r="D150" i="1" s="1"/>
  <c r="E150" i="1" s="1"/>
  <c r="C151" i="1" l="1"/>
  <c r="D151" i="1" s="1"/>
  <c r="E151" i="1"/>
  <c r="C152" i="1" l="1"/>
  <c r="D152" i="1" s="1"/>
  <c r="E152" i="1"/>
  <c r="C153" i="1" l="1"/>
  <c r="D153" i="1" s="1"/>
  <c r="E153" i="1" s="1"/>
  <c r="C154" i="1" l="1"/>
  <c r="D154" i="1" s="1"/>
  <c r="E154" i="1" s="1"/>
  <c r="C155" i="1" l="1"/>
  <c r="D155" i="1" s="1"/>
  <c r="E155" i="1" s="1"/>
  <c r="C156" i="1" l="1"/>
  <c r="D156" i="1" s="1"/>
  <c r="E156" i="1" s="1"/>
  <c r="C157" i="1" l="1"/>
  <c r="D157" i="1" s="1"/>
  <c r="E157" i="1"/>
  <c r="C158" i="1" l="1"/>
  <c r="D158" i="1" s="1"/>
  <c r="E158" i="1"/>
  <c r="C159" i="1" l="1"/>
  <c r="D159" i="1" s="1"/>
  <c r="E159" i="1" s="1"/>
  <c r="C160" i="1" l="1"/>
  <c r="D160" i="1" s="1"/>
  <c r="E160" i="1" s="1"/>
  <c r="C161" i="1" l="1"/>
  <c r="D161" i="1" s="1"/>
  <c r="E161" i="1" s="1"/>
  <c r="C162" i="1" l="1"/>
  <c r="D162" i="1" s="1"/>
  <c r="E162" i="1"/>
  <c r="C163" i="1" l="1"/>
  <c r="D163" i="1" s="1"/>
  <c r="E163" i="1"/>
  <c r="C164" i="1" l="1"/>
  <c r="D164" i="1" s="1"/>
  <c r="E164" i="1"/>
  <c r="C165" i="1" l="1"/>
  <c r="D165" i="1" s="1"/>
  <c r="E165" i="1"/>
  <c r="C166" i="1" l="1"/>
  <c r="D166" i="1" s="1"/>
  <c r="E166" i="1" s="1"/>
  <c r="C167" i="1" l="1"/>
  <c r="D167" i="1" s="1"/>
  <c r="E167" i="1"/>
  <c r="C168" i="1" l="1"/>
  <c r="D168" i="1" s="1"/>
  <c r="E168" i="1"/>
  <c r="C169" i="1" l="1"/>
  <c r="D169" i="1" s="1"/>
  <c r="E169" i="1" s="1"/>
  <c r="C170" i="1" l="1"/>
  <c r="D170" i="1" s="1"/>
  <c r="E170" i="1" s="1"/>
  <c r="C171" i="1" l="1"/>
  <c r="D171" i="1" s="1"/>
  <c r="E171" i="1" s="1"/>
  <c r="C172" i="1" l="1"/>
  <c r="D172" i="1" s="1"/>
  <c r="E172" i="1"/>
  <c r="C173" i="1" l="1"/>
  <c r="D173" i="1" s="1"/>
  <c r="E173" i="1"/>
  <c r="C174" i="1" l="1"/>
  <c r="D174" i="1" s="1"/>
  <c r="E174" i="1"/>
  <c r="C175" i="1" l="1"/>
  <c r="D175" i="1" s="1"/>
  <c r="E175" i="1"/>
  <c r="C176" i="1" l="1"/>
  <c r="D176" i="1" s="1"/>
  <c r="E176" i="1"/>
  <c r="C177" i="1" l="1"/>
  <c r="D177" i="1" s="1"/>
  <c r="E177" i="1"/>
  <c r="C178" i="1" l="1"/>
  <c r="D178" i="1" s="1"/>
  <c r="E178" i="1"/>
  <c r="C179" i="1" l="1"/>
  <c r="D179" i="1" s="1"/>
  <c r="E179" i="1"/>
  <c r="C180" i="1" l="1"/>
  <c r="D180" i="1" s="1"/>
  <c r="E180" i="1"/>
  <c r="C181" i="1" l="1"/>
  <c r="D181" i="1" s="1"/>
  <c r="E181" i="1"/>
  <c r="C182" i="1" l="1"/>
  <c r="D182" i="1" s="1"/>
  <c r="E182" i="1" s="1"/>
  <c r="C183" i="1" l="1"/>
  <c r="D183" i="1" s="1"/>
  <c r="E183" i="1"/>
  <c r="C184" i="1" l="1"/>
  <c r="D184" i="1" s="1"/>
  <c r="E184" i="1"/>
  <c r="C185" i="1" l="1"/>
  <c r="D185" i="1" s="1"/>
  <c r="E185" i="1"/>
  <c r="C186" i="1" l="1"/>
  <c r="D186" i="1" s="1"/>
  <c r="E186" i="1" s="1"/>
  <c r="C187" i="1" l="1"/>
  <c r="D187" i="1" s="1"/>
  <c r="E187" i="1" s="1"/>
  <c r="C188" i="1" l="1"/>
  <c r="D188" i="1" s="1"/>
  <c r="E188" i="1"/>
  <c r="C189" i="1" l="1"/>
  <c r="D189" i="1" s="1"/>
  <c r="E189" i="1"/>
  <c r="C190" i="1" l="1"/>
  <c r="D190" i="1" s="1"/>
  <c r="E190" i="1"/>
  <c r="C191" i="1" l="1"/>
  <c r="D191" i="1" s="1"/>
  <c r="E191" i="1"/>
  <c r="C192" i="1" l="1"/>
  <c r="D192" i="1" s="1"/>
  <c r="E192" i="1"/>
  <c r="C193" i="1" l="1"/>
  <c r="D193" i="1" s="1"/>
  <c r="E193" i="1" s="1"/>
  <c r="C194" i="1" l="1"/>
  <c r="D194" i="1" s="1"/>
  <c r="E194" i="1"/>
  <c r="C195" i="1" l="1"/>
  <c r="D195" i="1" s="1"/>
  <c r="E195" i="1"/>
  <c r="C196" i="1" l="1"/>
  <c r="D196" i="1" s="1"/>
  <c r="E196" i="1"/>
  <c r="C197" i="1" l="1"/>
  <c r="D197" i="1" s="1"/>
  <c r="E197" i="1"/>
  <c r="C198" i="1" l="1"/>
  <c r="D198" i="1" s="1"/>
  <c r="E198" i="1" s="1"/>
  <c r="C199" i="1" l="1"/>
  <c r="D199" i="1" s="1"/>
  <c r="E199" i="1"/>
  <c r="C200" i="1" l="1"/>
  <c r="D200" i="1" s="1"/>
  <c r="E200" i="1"/>
  <c r="C201" i="1" l="1"/>
  <c r="D201" i="1" s="1"/>
  <c r="E201" i="1" s="1"/>
  <c r="C202" i="1" l="1"/>
  <c r="D202" i="1" s="1"/>
  <c r="E202" i="1" s="1"/>
  <c r="C203" i="1" l="1"/>
  <c r="D203" i="1" s="1"/>
  <c r="E203" i="1" s="1"/>
  <c r="C204" i="1" l="1"/>
  <c r="D204" i="1" s="1"/>
  <c r="E204" i="1"/>
  <c r="C205" i="1" l="1"/>
  <c r="D205" i="1" s="1"/>
  <c r="E205" i="1"/>
  <c r="C206" i="1" l="1"/>
  <c r="D206" i="1" s="1"/>
  <c r="E206" i="1"/>
  <c r="C207" i="1" l="1"/>
  <c r="D207" i="1" s="1"/>
  <c r="E207" i="1" s="1"/>
  <c r="C208" i="1" l="1"/>
  <c r="D208" i="1" s="1"/>
  <c r="E208" i="1" s="1"/>
  <c r="C209" i="1" l="1"/>
  <c r="D209" i="1" s="1"/>
  <c r="E209" i="1" s="1"/>
  <c r="C210" i="1" l="1"/>
  <c r="D210" i="1" s="1"/>
  <c r="E210" i="1" s="1"/>
  <c r="C211" i="1" l="1"/>
  <c r="D211" i="1" s="1"/>
  <c r="E211" i="1"/>
  <c r="C212" i="1" l="1"/>
  <c r="D212" i="1" s="1"/>
  <c r="E212" i="1"/>
  <c r="C213" i="1" l="1"/>
  <c r="D213" i="1" s="1"/>
  <c r="E213" i="1"/>
  <c r="C214" i="1" l="1"/>
  <c r="D214" i="1" s="1"/>
  <c r="E214" i="1" s="1"/>
  <c r="C215" i="1" l="1"/>
  <c r="D215" i="1" s="1"/>
  <c r="E215" i="1"/>
  <c r="C216" i="1" l="1"/>
  <c r="D216" i="1" s="1"/>
  <c r="E216" i="1"/>
  <c r="C217" i="1" l="1"/>
  <c r="D217" i="1" s="1"/>
  <c r="E217" i="1" s="1"/>
  <c r="C218" i="1" l="1"/>
  <c r="D218" i="1" s="1"/>
  <c r="E218" i="1" s="1"/>
  <c r="C219" i="1" l="1"/>
  <c r="D219" i="1" s="1"/>
  <c r="E219" i="1" s="1"/>
  <c r="C220" i="1" l="1"/>
  <c r="D220" i="1" s="1"/>
  <c r="E220" i="1"/>
  <c r="C221" i="1" l="1"/>
  <c r="D221" i="1" s="1"/>
  <c r="E221" i="1"/>
  <c r="C222" i="1" l="1"/>
  <c r="D222" i="1" s="1"/>
  <c r="E222" i="1"/>
  <c r="C223" i="1" l="1"/>
  <c r="D223" i="1" s="1"/>
  <c r="E223" i="1" s="1"/>
  <c r="C224" i="1" l="1"/>
  <c r="D224" i="1" s="1"/>
  <c r="E224" i="1" s="1"/>
  <c r="C225" i="1" l="1"/>
  <c r="D225" i="1" s="1"/>
  <c r="E225" i="1" s="1"/>
  <c r="C226" i="1" l="1"/>
  <c r="D226" i="1" s="1"/>
  <c r="E226" i="1"/>
  <c r="C227" i="1" l="1"/>
  <c r="D227" i="1" s="1"/>
  <c r="E227" i="1"/>
  <c r="C228" i="1" l="1"/>
  <c r="D228" i="1" s="1"/>
  <c r="E228" i="1"/>
  <c r="C229" i="1" l="1"/>
  <c r="D229" i="1" s="1"/>
  <c r="E229" i="1"/>
  <c r="C230" i="1" l="1"/>
  <c r="D230" i="1" s="1"/>
  <c r="E230" i="1" s="1"/>
  <c r="C231" i="1" l="1"/>
  <c r="D231" i="1" s="1"/>
  <c r="E231" i="1"/>
  <c r="C232" i="1" l="1"/>
  <c r="D232" i="1" s="1"/>
  <c r="E232" i="1"/>
  <c r="C233" i="1" l="1"/>
  <c r="D233" i="1" s="1"/>
  <c r="E233" i="1" s="1"/>
  <c r="C234" i="1" l="1"/>
  <c r="D234" i="1" s="1"/>
  <c r="E234" i="1" s="1"/>
  <c r="C235" i="1" l="1"/>
  <c r="D235" i="1" s="1"/>
  <c r="E235" i="1"/>
  <c r="C236" i="1" l="1"/>
  <c r="D236" i="1" s="1"/>
  <c r="E236" i="1"/>
  <c r="C237" i="1" l="1"/>
  <c r="D237" i="1" s="1"/>
  <c r="E237" i="1"/>
  <c r="C238" i="1" l="1"/>
  <c r="D238" i="1" s="1"/>
  <c r="E238" i="1" s="1"/>
  <c r="C239" i="1" l="1"/>
  <c r="D239" i="1" s="1"/>
  <c r="E239" i="1" s="1"/>
  <c r="C240" i="1" l="1"/>
  <c r="D240" i="1" s="1"/>
  <c r="E240" i="1"/>
  <c r="C241" i="1" l="1"/>
  <c r="D241" i="1" s="1"/>
  <c r="E241" i="1" s="1"/>
  <c r="C242" i="1" l="1"/>
  <c r="D242" i="1" s="1"/>
  <c r="E242" i="1"/>
  <c r="C243" i="1" l="1"/>
  <c r="D243" i="1" s="1"/>
  <c r="E243" i="1"/>
  <c r="C244" i="1" l="1"/>
  <c r="D244" i="1" s="1"/>
  <c r="E244" i="1"/>
  <c r="C245" i="1" l="1"/>
  <c r="D245" i="1" s="1"/>
  <c r="E245" i="1"/>
  <c r="C246" i="1" l="1"/>
  <c r="D246" i="1" s="1"/>
  <c r="E246" i="1" s="1"/>
  <c r="C247" i="1" l="1"/>
  <c r="D247" i="1" s="1"/>
  <c r="E247" i="1"/>
  <c r="C248" i="1" l="1"/>
  <c r="D248" i="1" s="1"/>
  <c r="E248" i="1"/>
  <c r="C249" i="1" l="1"/>
  <c r="D249" i="1" s="1"/>
  <c r="E249" i="1" s="1"/>
  <c r="C250" i="1" l="1"/>
  <c r="D250" i="1" s="1"/>
  <c r="E250" i="1"/>
  <c r="C251" i="1" l="1"/>
  <c r="D251" i="1" s="1"/>
  <c r="E251" i="1" s="1"/>
  <c r="C252" i="1" l="1"/>
  <c r="D252" i="1" s="1"/>
  <c r="E252" i="1"/>
  <c r="C253" i="1" l="1"/>
  <c r="D253" i="1" s="1"/>
  <c r="E253" i="1"/>
  <c r="C254" i="1" l="1"/>
  <c r="D254" i="1" s="1"/>
  <c r="E254" i="1"/>
  <c r="C255" i="1" l="1"/>
  <c r="D255" i="1" s="1"/>
  <c r="E255" i="1" s="1"/>
  <c r="C256" i="1" l="1"/>
  <c r="D256" i="1" s="1"/>
  <c r="E256" i="1" s="1"/>
  <c r="C257" i="1" l="1"/>
  <c r="D257" i="1" s="1"/>
  <c r="E257" i="1" s="1"/>
  <c r="C258" i="1" l="1"/>
  <c r="D258" i="1" s="1"/>
  <c r="E258" i="1"/>
  <c r="C259" i="1" l="1"/>
  <c r="D259" i="1" s="1"/>
  <c r="E259" i="1"/>
  <c r="C260" i="1" l="1"/>
  <c r="D260" i="1" s="1"/>
  <c r="E260" i="1"/>
  <c r="C261" i="1" l="1"/>
  <c r="D261" i="1" s="1"/>
  <c r="E261" i="1"/>
  <c r="C262" i="1" l="1"/>
  <c r="D262" i="1" s="1"/>
  <c r="E262" i="1" s="1"/>
  <c r="C263" i="1" l="1"/>
  <c r="D263" i="1" s="1"/>
  <c r="E263" i="1"/>
  <c r="C264" i="1" l="1"/>
  <c r="D264" i="1" s="1"/>
  <c r="E264" i="1"/>
  <c r="C265" i="1" l="1"/>
  <c r="D265" i="1" s="1"/>
  <c r="E265" i="1" s="1"/>
  <c r="C266" i="1" l="1"/>
  <c r="D266" i="1" s="1"/>
  <c r="E266" i="1" s="1"/>
  <c r="C267" i="1" l="1"/>
  <c r="D267" i="1" s="1"/>
  <c r="E267" i="1" s="1"/>
  <c r="C268" i="1" l="1"/>
  <c r="D268" i="1" s="1"/>
  <c r="E268" i="1"/>
  <c r="C269" i="1" l="1"/>
  <c r="D269" i="1" s="1"/>
  <c r="E269" i="1"/>
  <c r="C270" i="1" l="1"/>
  <c r="D270" i="1" s="1"/>
  <c r="E270" i="1" s="1"/>
  <c r="C271" i="1" l="1"/>
  <c r="D271" i="1" s="1"/>
  <c r="E271" i="1" s="1"/>
  <c r="C272" i="1" l="1"/>
  <c r="D272" i="1" s="1"/>
  <c r="E272" i="1" s="1"/>
  <c r="C273" i="1" l="1"/>
  <c r="D273" i="1" s="1"/>
  <c r="E273" i="1" s="1"/>
  <c r="C274" i="1" l="1"/>
  <c r="D274" i="1" s="1"/>
  <c r="E274" i="1"/>
  <c r="C275" i="1" l="1"/>
  <c r="D275" i="1" s="1"/>
  <c r="E275" i="1"/>
  <c r="C276" i="1" l="1"/>
  <c r="D276" i="1" s="1"/>
  <c r="E276" i="1"/>
  <c r="C277" i="1" l="1"/>
  <c r="D277" i="1" s="1"/>
  <c r="E277" i="1"/>
  <c r="C278" i="1" l="1"/>
  <c r="D278" i="1" s="1"/>
  <c r="E278" i="1" s="1"/>
  <c r="C279" i="1" l="1"/>
  <c r="D279" i="1" s="1"/>
  <c r="E279" i="1"/>
  <c r="C280" i="1" l="1"/>
  <c r="D280" i="1" s="1"/>
  <c r="E280" i="1"/>
  <c r="C281" i="1" l="1"/>
  <c r="D281" i="1" s="1"/>
  <c r="E281" i="1" s="1"/>
  <c r="C282" i="1" l="1"/>
  <c r="D282" i="1" s="1"/>
  <c r="E282" i="1"/>
  <c r="C283" i="1" l="1"/>
  <c r="D283" i="1" s="1"/>
  <c r="E283" i="1"/>
  <c r="C284" i="1" l="1"/>
  <c r="D284" i="1" s="1"/>
  <c r="E284" i="1"/>
  <c r="C285" i="1" l="1"/>
  <c r="D285" i="1" s="1"/>
  <c r="E285" i="1"/>
  <c r="C286" i="1" l="1"/>
  <c r="D286" i="1" s="1"/>
  <c r="E286" i="1" s="1"/>
</calcChain>
</file>

<file path=xl/sharedStrings.xml><?xml version="1.0" encoding="utf-8"?>
<sst xmlns="http://schemas.openxmlformats.org/spreadsheetml/2006/main" count="75" uniqueCount="54">
  <si>
    <t>V0</t>
  </si>
  <si>
    <t>Vn</t>
  </si>
  <si>
    <t>n</t>
  </si>
  <si>
    <t>r</t>
  </si>
  <si>
    <t>Précompté vs Postcompté</t>
  </si>
  <si>
    <t>Postcompté</t>
  </si>
  <si>
    <t>Précompté</t>
  </si>
  <si>
    <t>Capital</t>
  </si>
  <si>
    <t>Taux nominal</t>
  </si>
  <si>
    <t>Aujourd'hui je reçois…</t>
  </si>
  <si>
    <t>Dans 1 an je rembourse…</t>
  </si>
  <si>
    <t>Taux effectif</t>
  </si>
  <si>
    <t>VAN et TRI</t>
  </si>
  <si>
    <t>Année</t>
  </si>
  <si>
    <t>Flux</t>
  </si>
  <si>
    <t>VA</t>
  </si>
  <si>
    <t>VAN</t>
  </si>
  <si>
    <t>Taux marché</t>
  </si>
  <si>
    <t>2 placements sur le marché (3%)</t>
  </si>
  <si>
    <t>Plct 1 an</t>
  </si>
  <si>
    <t>Plct 2 ans</t>
  </si>
  <si>
    <t>TOTAL</t>
  </si>
  <si>
    <t>Calculer  le TRI de cet investissement</t>
  </si>
  <si>
    <t>TRI</t>
  </si>
  <si>
    <t>TRA d'une obligation</t>
  </si>
  <si>
    <t>TRA</t>
  </si>
  <si>
    <t>PRIX</t>
  </si>
  <si>
    <t>Prix &gt; 100 (Oblig est au dessus du pair) &lt;=&gt; TRA &lt; Taux facial</t>
  </si>
  <si>
    <t>Prix = 100 (Oblig est au pair) &lt;=&gt; TRA = Taux facial</t>
  </si>
  <si>
    <t>Prix &lt; 100 (Oblig en dessous du pair) &lt;=&gt; TRA &gt; Taux facial</t>
  </si>
  <si>
    <t>VAN &gt; 0 &lt;=&gt; TRI &gt; Taux marché</t>
  </si>
  <si>
    <t>VAN = 0 &lt;=&gt; TRI = Taux marché</t>
  </si>
  <si>
    <t>VAN &lt; 0 &lt;=&gt; TRI &lt; Taux marché</t>
  </si>
  <si>
    <t>Emprunts amortissables</t>
  </si>
  <si>
    <t>Durée</t>
  </si>
  <si>
    <t xml:space="preserve">Taux </t>
  </si>
  <si>
    <t>Annuité</t>
  </si>
  <si>
    <t>Coût crédit</t>
  </si>
  <si>
    <t>Paiement</t>
  </si>
  <si>
    <t>Intérêts</t>
  </si>
  <si>
    <t>CRD</t>
  </si>
  <si>
    <t>TOTAUX</t>
  </si>
  <si>
    <t>Emprunt immobilier, 250k€, 15 ans, 3,20%, remboursé par mensualités constantes</t>
  </si>
  <si>
    <t>Durée (mois)</t>
  </si>
  <si>
    <t>Taux mensuel</t>
  </si>
  <si>
    <t>Mensualité</t>
  </si>
  <si>
    <t>Mois</t>
  </si>
  <si>
    <t>Maturité</t>
  </si>
  <si>
    <t>Coupon</t>
  </si>
  <si>
    <t>Prix</t>
  </si>
  <si>
    <t>DF</t>
  </si>
  <si>
    <t>Taux ZC</t>
  </si>
  <si>
    <t>C'est le taux d'actualisation qui annule la VAN</t>
  </si>
  <si>
    <t>Repricing des obligs en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</si>
</sst>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164" formatCode="0.000"/>
    <numFmt numFmtId="165" formatCode="0.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14" fontId="0" fillId="0" borderId="0" xfId="0" applyNumberFormat="1"/>
    <xf numFmtId="6" fontId="0" fillId="0" borderId="0" xfId="0" applyNumberFormat="1"/>
    <xf numFmtId="8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10" fontId="2" fillId="0" borderId="2" xfId="0" applyNumberFormat="1" applyFont="1" applyBorder="1"/>
    <xf numFmtId="0" fontId="0" fillId="0" borderId="3" xfId="0" applyBorder="1" applyAlignment="1">
      <alignment horizontal="center"/>
    </xf>
    <xf numFmtId="0" fontId="4" fillId="0" borderId="0" xfId="0" applyFont="1"/>
    <xf numFmtId="10" fontId="3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0" fillId="0" borderId="0" xfId="0" applyNumberFormat="1"/>
    <xf numFmtId="15" fontId="0" fillId="0" borderId="0" xfId="0" applyNumberFormat="1"/>
    <xf numFmtId="10" fontId="3" fillId="0" borderId="0" xfId="0" applyNumberFormat="1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165" fontId="0" fillId="0" borderId="0" xfId="1" applyNumberFormat="1" applyFont="1"/>
    <xf numFmtId="10" fontId="0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C646-7DED-40D7-BE71-03C8D0344338}">
  <dimension ref="A1:G325"/>
  <sheetViews>
    <sheetView zoomScale="115" zoomScaleNormal="115" workbookViewId="0">
      <selection activeCell="A10" sqref="A10"/>
    </sheetView>
  </sheetViews>
  <sheetFormatPr baseColWidth="10" defaultRowHeight="14.6" x14ac:dyDescent="0.4"/>
  <cols>
    <col min="3" max="3" width="12.53515625" bestFit="1" customWidth="1"/>
  </cols>
  <sheetData>
    <row r="1" spans="1:5" x14ac:dyDescent="0.4">
      <c r="A1" t="s">
        <v>2</v>
      </c>
      <c r="B1">
        <v>5</v>
      </c>
    </row>
    <row r="2" spans="1:5" x14ac:dyDescent="0.4">
      <c r="A2" t="s">
        <v>0</v>
      </c>
      <c r="B2">
        <v>2000</v>
      </c>
    </row>
    <row r="3" spans="1:5" x14ac:dyDescent="0.4">
      <c r="A3" t="s">
        <v>1</v>
      </c>
      <c r="B3">
        <v>3000</v>
      </c>
      <c r="D3">
        <v>0</v>
      </c>
      <c r="E3">
        <v>-2000</v>
      </c>
    </row>
    <row r="4" spans="1:5" x14ac:dyDescent="0.4">
      <c r="A4" t="s">
        <v>3</v>
      </c>
      <c r="B4" s="1">
        <f>(B3/B2)^(1/B1)-1</f>
        <v>8.4471771197698553E-2</v>
      </c>
      <c r="D4">
        <v>1</v>
      </c>
      <c r="E4">
        <v>0</v>
      </c>
    </row>
    <row r="5" spans="1:5" x14ac:dyDescent="0.4">
      <c r="B5" s="2">
        <f>IRR(E3:E8)</f>
        <v>8.4471771197341949E-2</v>
      </c>
      <c r="D5">
        <v>2</v>
      </c>
      <c r="E5">
        <v>0</v>
      </c>
    </row>
    <row r="6" spans="1:5" x14ac:dyDescent="0.4">
      <c r="B6" s="1">
        <f>XIRR(E10:E11,D10:D11)</f>
        <v>8.4375503659248355E-2</v>
      </c>
      <c r="D6">
        <v>3</v>
      </c>
      <c r="E6">
        <v>0</v>
      </c>
    </row>
    <row r="7" spans="1:5" x14ac:dyDescent="0.4">
      <c r="D7">
        <v>4</v>
      </c>
      <c r="E7">
        <v>0</v>
      </c>
    </row>
    <row r="8" spans="1:5" x14ac:dyDescent="0.4">
      <c r="D8">
        <v>5</v>
      </c>
      <c r="E8">
        <v>3000</v>
      </c>
    </row>
    <row r="10" spans="1:5" x14ac:dyDescent="0.4">
      <c r="D10" s="3">
        <v>43831</v>
      </c>
      <c r="E10">
        <v>-2000</v>
      </c>
    </row>
    <row r="11" spans="1:5" x14ac:dyDescent="0.4">
      <c r="D11" s="3">
        <v>45658</v>
      </c>
      <c r="E11">
        <v>3000</v>
      </c>
    </row>
    <row r="15" spans="1:5" x14ac:dyDescent="0.4">
      <c r="A15" s="6" t="s">
        <v>4</v>
      </c>
    </row>
    <row r="17" spans="1:7" x14ac:dyDescent="0.4">
      <c r="B17" s="14"/>
      <c r="C17" s="6" t="s">
        <v>5</v>
      </c>
      <c r="D17" s="6" t="s">
        <v>6</v>
      </c>
    </row>
    <row r="18" spans="1:7" x14ac:dyDescent="0.4">
      <c r="B18" s="26" t="s">
        <v>7</v>
      </c>
      <c r="C18" s="4">
        <v>1000000</v>
      </c>
      <c r="D18" s="4">
        <v>1050000</v>
      </c>
    </row>
    <row r="19" spans="1:7" x14ac:dyDescent="0.4">
      <c r="B19" s="26" t="s">
        <v>8</v>
      </c>
      <c r="C19" s="2">
        <v>0.05</v>
      </c>
      <c r="D19" s="2">
        <f>C19/(1+C19)</f>
        <v>4.7619047619047616E-2</v>
      </c>
    </row>
    <row r="20" spans="1:7" x14ac:dyDescent="0.4">
      <c r="B20" s="26" t="s">
        <v>9</v>
      </c>
      <c r="C20" s="4">
        <f>C18</f>
        <v>1000000</v>
      </c>
      <c r="D20" s="4">
        <f>D18*(1-D19)</f>
        <v>1000000</v>
      </c>
    </row>
    <row r="21" spans="1:7" x14ac:dyDescent="0.4">
      <c r="B21" s="26" t="s">
        <v>10</v>
      </c>
      <c r="C21" s="4">
        <f>C18*(1+C19)</f>
        <v>1050000</v>
      </c>
      <c r="D21" s="4">
        <f>D18</f>
        <v>1050000</v>
      </c>
    </row>
    <row r="22" spans="1:7" x14ac:dyDescent="0.4">
      <c r="B22" s="26" t="s">
        <v>11</v>
      </c>
      <c r="C22" s="1">
        <f>(C21-C20)/C20</f>
        <v>0.05</v>
      </c>
      <c r="D22" s="1">
        <f>(D21-D20)/D20</f>
        <v>0.05</v>
      </c>
    </row>
    <row r="26" spans="1:7" x14ac:dyDescent="0.4">
      <c r="A26" s="6" t="s">
        <v>12</v>
      </c>
    </row>
    <row r="28" spans="1:7" x14ac:dyDescent="0.4">
      <c r="A28" s="11" t="s">
        <v>17</v>
      </c>
      <c r="B28" s="12">
        <v>0.03</v>
      </c>
    </row>
    <row r="29" spans="1:7" x14ac:dyDescent="0.4">
      <c r="E29" s="14" t="s">
        <v>18</v>
      </c>
    </row>
    <row r="30" spans="1:7" x14ac:dyDescent="0.4">
      <c r="A30" s="13" t="s">
        <v>13</v>
      </c>
      <c r="B30" s="13" t="s">
        <v>14</v>
      </c>
      <c r="C30" s="13" t="s">
        <v>15</v>
      </c>
      <c r="E30" s="10" t="s">
        <v>19</v>
      </c>
      <c r="F30" s="10" t="s">
        <v>20</v>
      </c>
      <c r="G30" s="10" t="s">
        <v>21</v>
      </c>
    </row>
    <row r="31" spans="1:7" x14ac:dyDescent="0.4">
      <c r="A31" s="10">
        <v>0</v>
      </c>
      <c r="B31" s="10">
        <v>-1000</v>
      </c>
      <c r="C31" s="10">
        <f>B31/(1+$B$28)^A31</f>
        <v>-1000</v>
      </c>
      <c r="E31" s="10">
        <f>-E32/(1+B28)^1</f>
        <v>-582.52427184466023</v>
      </c>
      <c r="F31" s="10">
        <f>-F33/(1+B28)^2</f>
        <v>-471.29795456687719</v>
      </c>
      <c r="G31">
        <f>E31+F31</f>
        <v>-1053.8222264115375</v>
      </c>
    </row>
    <row r="32" spans="1:7" x14ac:dyDescent="0.4">
      <c r="A32" s="10">
        <v>1</v>
      </c>
      <c r="B32" s="10">
        <v>600</v>
      </c>
      <c r="C32" s="10">
        <f t="shared" ref="C32:C33" si="0">B32/(1+$B$28)^A32</f>
        <v>582.52427184466023</v>
      </c>
      <c r="E32" s="10">
        <v>600</v>
      </c>
      <c r="F32" s="10">
        <v>0</v>
      </c>
      <c r="G32">
        <f>E32+F32</f>
        <v>600</v>
      </c>
    </row>
    <row r="33" spans="1:7" x14ac:dyDescent="0.4">
      <c r="A33" s="10">
        <v>2</v>
      </c>
      <c r="B33" s="10">
        <v>500</v>
      </c>
      <c r="C33" s="10">
        <f t="shared" si="0"/>
        <v>471.29795456687719</v>
      </c>
      <c r="E33" s="10">
        <v>0</v>
      </c>
      <c r="F33" s="10">
        <v>500</v>
      </c>
      <c r="G33">
        <f>E33+F33</f>
        <v>500</v>
      </c>
    </row>
    <row r="35" spans="1:7" x14ac:dyDescent="0.4">
      <c r="B35" s="8" t="s">
        <v>16</v>
      </c>
      <c r="C35" s="9">
        <f>SUM(C31:C33)</f>
        <v>53.822226411537429</v>
      </c>
    </row>
    <row r="37" spans="1:7" x14ac:dyDescent="0.4">
      <c r="A37" s="6" t="s">
        <v>22</v>
      </c>
    </row>
    <row r="38" spans="1:7" x14ac:dyDescent="0.4">
      <c r="A38" t="s">
        <v>52</v>
      </c>
    </row>
    <row r="40" spans="1:7" x14ac:dyDescent="0.4">
      <c r="A40" s="8" t="s">
        <v>23</v>
      </c>
      <c r="B40" s="15">
        <v>6.8114566063619195E-2</v>
      </c>
      <c r="C40" s="2">
        <f>IRR(B43:B45)</f>
        <v>6.811457478686056E-2</v>
      </c>
      <c r="D40" s="1">
        <f>XIRR(F43:F45,E43:E45)</f>
        <v>6.8114575743675243E-2</v>
      </c>
    </row>
    <row r="42" spans="1:7" x14ac:dyDescent="0.4">
      <c r="A42" s="13" t="s">
        <v>13</v>
      </c>
      <c r="B42" s="13" t="s">
        <v>14</v>
      </c>
      <c r="C42" s="13" t="s">
        <v>15</v>
      </c>
    </row>
    <row r="43" spans="1:7" x14ac:dyDescent="0.4">
      <c r="A43" s="10">
        <v>0</v>
      </c>
      <c r="B43" s="10">
        <v>-1000</v>
      </c>
      <c r="C43" s="10">
        <f>B43/(1+$B$40)^A43</f>
        <v>-1000</v>
      </c>
      <c r="E43" s="19">
        <v>45902</v>
      </c>
      <c r="F43">
        <f>B43</f>
        <v>-1000</v>
      </c>
    </row>
    <row r="44" spans="1:7" x14ac:dyDescent="0.4">
      <c r="A44" s="10">
        <v>1</v>
      </c>
      <c r="B44" s="10">
        <v>600</v>
      </c>
      <c r="C44" s="10">
        <f t="shared" ref="C44:C45" si="1">B44/(1+$B$40)^A44</f>
        <v>561.73749433191676</v>
      </c>
      <c r="E44" s="19">
        <v>46267</v>
      </c>
      <c r="F44">
        <f t="shared" ref="F44:F45" si="2">B44</f>
        <v>600</v>
      </c>
    </row>
    <row r="45" spans="1:7" x14ac:dyDescent="0.4">
      <c r="A45" s="10">
        <v>2</v>
      </c>
      <c r="B45" s="10">
        <v>500</v>
      </c>
      <c r="C45" s="10">
        <f t="shared" si="1"/>
        <v>438.26251741430588</v>
      </c>
      <c r="E45" s="19">
        <v>46632</v>
      </c>
      <c r="F45">
        <f t="shared" si="2"/>
        <v>500</v>
      </c>
    </row>
    <row r="47" spans="1:7" x14ac:dyDescent="0.4">
      <c r="B47" s="16" t="s">
        <v>16</v>
      </c>
      <c r="C47" s="17">
        <f>SUM(C43:C45)</f>
        <v>1.1746222639885673E-5</v>
      </c>
    </row>
    <row r="48" spans="1:7" x14ac:dyDescent="0.4">
      <c r="B48" s="21"/>
      <c r="C48" s="22"/>
    </row>
    <row r="49" spans="1:5" x14ac:dyDescent="0.4">
      <c r="A49" s="6" t="s">
        <v>30</v>
      </c>
    </row>
    <row r="50" spans="1:5" x14ac:dyDescent="0.4">
      <c r="A50" s="6" t="s">
        <v>31</v>
      </c>
    </row>
    <row r="51" spans="1:5" x14ac:dyDescent="0.4">
      <c r="A51" s="6" t="s">
        <v>32</v>
      </c>
    </row>
    <row r="54" spans="1:5" x14ac:dyDescent="0.4">
      <c r="A54" s="6" t="s">
        <v>24</v>
      </c>
    </row>
    <row r="56" spans="1:5" x14ac:dyDescent="0.4">
      <c r="A56" s="6" t="s">
        <v>25</v>
      </c>
      <c r="B56" s="20">
        <v>4.1097837334681656E-2</v>
      </c>
      <c r="C56" s="2">
        <f>IRR(E58:E64)</f>
        <v>4.1097842899714632E-2</v>
      </c>
    </row>
    <row r="58" spans="1:5" x14ac:dyDescent="0.4">
      <c r="A58" t="s">
        <v>13</v>
      </c>
      <c r="B58" t="s">
        <v>14</v>
      </c>
      <c r="C58" t="s">
        <v>15</v>
      </c>
      <c r="E58">
        <v>-104.65</v>
      </c>
    </row>
    <row r="59" spans="1:5" x14ac:dyDescent="0.4">
      <c r="A59">
        <v>1</v>
      </c>
      <c r="B59">
        <v>5</v>
      </c>
      <c r="C59">
        <f>B59/(1+$B$56)^A59</f>
        <v>4.8026225976998642</v>
      </c>
      <c r="E59">
        <f>B59</f>
        <v>5</v>
      </c>
    </row>
    <row r="60" spans="1:5" x14ac:dyDescent="0.4">
      <c r="A60">
        <v>2</v>
      </c>
      <c r="B60">
        <v>5</v>
      </c>
      <c r="C60">
        <f t="shared" ref="C60:C64" si="3">B60/(1+$B$56)^A60</f>
        <v>4.6130367631874787</v>
      </c>
      <c r="E60">
        <f t="shared" ref="E60:E64" si="4">B60</f>
        <v>5</v>
      </c>
    </row>
    <row r="61" spans="1:5" x14ac:dyDescent="0.4">
      <c r="A61">
        <v>3</v>
      </c>
      <c r="B61">
        <v>5</v>
      </c>
      <c r="C61">
        <f t="shared" si="3"/>
        <v>4.430934920580885</v>
      </c>
      <c r="E61">
        <f t="shared" si="4"/>
        <v>5</v>
      </c>
    </row>
    <row r="62" spans="1:5" x14ac:dyDescent="0.4">
      <c r="A62">
        <v>4</v>
      </c>
      <c r="B62">
        <v>5</v>
      </c>
      <c r="C62">
        <f t="shared" si="3"/>
        <v>4.2560216357038421</v>
      </c>
      <c r="E62">
        <f t="shared" si="4"/>
        <v>5</v>
      </c>
    </row>
    <row r="63" spans="1:5" x14ac:dyDescent="0.4">
      <c r="A63">
        <v>5</v>
      </c>
      <c r="B63">
        <v>5</v>
      </c>
      <c r="C63">
        <f t="shared" si="3"/>
        <v>4.0880131367861621</v>
      </c>
      <c r="E63">
        <f t="shared" si="4"/>
        <v>5</v>
      </c>
    </row>
    <row r="64" spans="1:5" x14ac:dyDescent="0.4">
      <c r="A64">
        <v>6</v>
      </c>
      <c r="B64">
        <v>105</v>
      </c>
      <c r="C64">
        <f t="shared" si="3"/>
        <v>82.459373935777165</v>
      </c>
      <c r="E64">
        <f t="shared" si="4"/>
        <v>105</v>
      </c>
    </row>
    <row r="66" spans="1:7" x14ac:dyDescent="0.4">
      <c r="B66" t="s">
        <v>26</v>
      </c>
      <c r="C66">
        <f>SUM(C59:C64)</f>
        <v>104.6500029897354</v>
      </c>
    </row>
    <row r="69" spans="1:7" x14ac:dyDescent="0.4">
      <c r="A69" s="6" t="s">
        <v>27</v>
      </c>
    </row>
    <row r="70" spans="1:7" x14ac:dyDescent="0.4">
      <c r="A70" s="6" t="s">
        <v>28</v>
      </c>
    </row>
    <row r="71" spans="1:7" x14ac:dyDescent="0.4">
      <c r="A71" s="6" t="s">
        <v>29</v>
      </c>
    </row>
    <row r="75" spans="1:7" x14ac:dyDescent="0.4">
      <c r="A75" s="6" t="s">
        <v>33</v>
      </c>
    </row>
    <row r="76" spans="1:7" x14ac:dyDescent="0.4">
      <c r="A76" t="s">
        <v>7</v>
      </c>
      <c r="B76" s="4">
        <v>1000000</v>
      </c>
    </row>
    <row r="77" spans="1:7" x14ac:dyDescent="0.4">
      <c r="A77" t="s">
        <v>34</v>
      </c>
      <c r="B77">
        <v>10</v>
      </c>
    </row>
    <row r="78" spans="1:7" x14ac:dyDescent="0.4">
      <c r="A78" t="s">
        <v>35</v>
      </c>
      <c r="B78" s="2">
        <v>3.5000000000000003E-2</v>
      </c>
      <c r="G78" t="s">
        <v>23</v>
      </c>
    </row>
    <row r="79" spans="1:7" x14ac:dyDescent="0.4">
      <c r="A79" t="s">
        <v>36</v>
      </c>
      <c r="B79" s="4">
        <f>B76*B78/(1-(1+B78)^-B77)</f>
        <v>120241.3678673915</v>
      </c>
      <c r="G79" s="18">
        <f>IRR(G82:G92)</f>
        <v>3.5000000000000586E-2</v>
      </c>
    </row>
    <row r="80" spans="1:7" x14ac:dyDescent="0.4">
      <c r="A80" t="s">
        <v>37</v>
      </c>
      <c r="B80" s="4">
        <f>B79*B77-B76</f>
        <v>202413.6786739151</v>
      </c>
    </row>
    <row r="81" spans="1:7" x14ac:dyDescent="0.4">
      <c r="A81" s="10"/>
      <c r="B81" s="10"/>
      <c r="C81" s="10"/>
      <c r="D81" s="10"/>
      <c r="E81" s="7" t="s">
        <v>40</v>
      </c>
      <c r="G81" t="s">
        <v>14</v>
      </c>
    </row>
    <row r="82" spans="1:7" x14ac:dyDescent="0.4">
      <c r="A82" s="7" t="s">
        <v>13</v>
      </c>
      <c r="B82" s="7" t="s">
        <v>38</v>
      </c>
      <c r="C82" s="7" t="s">
        <v>39</v>
      </c>
      <c r="D82" s="7" t="s">
        <v>7</v>
      </c>
      <c r="E82" s="23">
        <f>B76</f>
        <v>1000000</v>
      </c>
      <c r="G82" s="4">
        <f>B76</f>
        <v>1000000</v>
      </c>
    </row>
    <row r="83" spans="1:7" x14ac:dyDescent="0.4">
      <c r="A83" s="10">
        <v>1</v>
      </c>
      <c r="B83" s="23">
        <f>$B$79</f>
        <v>120241.3678673915</v>
      </c>
      <c r="C83" s="23">
        <f>E82*$B$78</f>
        <v>35000</v>
      </c>
      <c r="D83" s="23">
        <f>B83-C83</f>
        <v>85241.367867391498</v>
      </c>
      <c r="E83" s="23">
        <f>E82-D83</f>
        <v>914758.63213260844</v>
      </c>
      <c r="G83" s="4">
        <f>-B83</f>
        <v>-120241.3678673915</v>
      </c>
    </row>
    <row r="84" spans="1:7" x14ac:dyDescent="0.4">
      <c r="A84" s="10">
        <v>2</v>
      </c>
      <c r="B84" s="23">
        <f t="shared" ref="B84:B92" si="5">$B$79</f>
        <v>120241.3678673915</v>
      </c>
      <c r="C84" s="23">
        <f t="shared" ref="C84:C92" si="6">E83*$B$78</f>
        <v>32016.552124641297</v>
      </c>
      <c r="D84" s="23">
        <f t="shared" ref="D84:D92" si="7">B84-C84</f>
        <v>88224.815742750201</v>
      </c>
      <c r="E84" s="23">
        <f t="shared" ref="E84:E92" si="8">E83-D84</f>
        <v>826533.81638985826</v>
      </c>
      <c r="G84" s="4">
        <f t="shared" ref="G84:G92" si="9">-B84</f>
        <v>-120241.3678673915</v>
      </c>
    </row>
    <row r="85" spans="1:7" x14ac:dyDescent="0.4">
      <c r="A85" s="10">
        <v>3</v>
      </c>
      <c r="B85" s="23">
        <f t="shared" si="5"/>
        <v>120241.3678673915</v>
      </c>
      <c r="C85" s="23">
        <f t="shared" si="6"/>
        <v>28928.683573645041</v>
      </c>
      <c r="D85" s="23">
        <f t="shared" si="7"/>
        <v>91312.684293746453</v>
      </c>
      <c r="E85" s="23">
        <f t="shared" si="8"/>
        <v>735221.13209611177</v>
      </c>
      <c r="G85" s="4">
        <f t="shared" si="9"/>
        <v>-120241.3678673915</v>
      </c>
    </row>
    <row r="86" spans="1:7" x14ac:dyDescent="0.4">
      <c r="A86" s="10">
        <v>4</v>
      </c>
      <c r="B86" s="23">
        <f t="shared" si="5"/>
        <v>120241.3678673915</v>
      </c>
      <c r="C86" s="23">
        <f t="shared" si="6"/>
        <v>25732.739623363916</v>
      </c>
      <c r="D86" s="23">
        <f t="shared" si="7"/>
        <v>94508.628244027583</v>
      </c>
      <c r="E86" s="23">
        <f t="shared" si="8"/>
        <v>640712.50385208416</v>
      </c>
      <c r="G86" s="4">
        <f t="shared" si="9"/>
        <v>-120241.3678673915</v>
      </c>
    </row>
    <row r="87" spans="1:7" x14ac:dyDescent="0.4">
      <c r="A87" s="10">
        <v>5</v>
      </c>
      <c r="B87" s="23">
        <f t="shared" si="5"/>
        <v>120241.3678673915</v>
      </c>
      <c r="C87" s="23">
        <f t="shared" si="6"/>
        <v>22424.937634822949</v>
      </c>
      <c r="D87" s="23">
        <f t="shared" si="7"/>
        <v>97816.430232568557</v>
      </c>
      <c r="E87" s="23">
        <f t="shared" si="8"/>
        <v>542896.07361951564</v>
      </c>
      <c r="G87" s="4">
        <f t="shared" si="9"/>
        <v>-120241.3678673915</v>
      </c>
    </row>
    <row r="88" spans="1:7" x14ac:dyDescent="0.4">
      <c r="A88" s="10">
        <v>6</v>
      </c>
      <c r="B88" s="23">
        <f t="shared" si="5"/>
        <v>120241.3678673915</v>
      </c>
      <c r="C88" s="23">
        <f t="shared" si="6"/>
        <v>19001.362576683048</v>
      </c>
      <c r="D88" s="23">
        <f t="shared" si="7"/>
        <v>101240.00529070845</v>
      </c>
      <c r="E88" s="23">
        <f t="shared" si="8"/>
        <v>441656.06832880719</v>
      </c>
      <c r="G88" s="4">
        <f t="shared" si="9"/>
        <v>-120241.3678673915</v>
      </c>
    </row>
    <row r="89" spans="1:7" x14ac:dyDescent="0.4">
      <c r="A89" s="10">
        <v>7</v>
      </c>
      <c r="B89" s="23">
        <f t="shared" si="5"/>
        <v>120241.3678673915</v>
      </c>
      <c r="C89" s="23">
        <f t="shared" si="6"/>
        <v>15457.962391508254</v>
      </c>
      <c r="D89" s="23">
        <f t="shared" si="7"/>
        <v>104783.40547588325</v>
      </c>
      <c r="E89" s="23">
        <f t="shared" si="8"/>
        <v>336872.66285292397</v>
      </c>
      <c r="G89" s="4">
        <f t="shared" si="9"/>
        <v>-120241.3678673915</v>
      </c>
    </row>
    <row r="90" spans="1:7" x14ac:dyDescent="0.4">
      <c r="A90" s="10">
        <v>8</v>
      </c>
      <c r="B90" s="23">
        <f t="shared" si="5"/>
        <v>120241.3678673915</v>
      </c>
      <c r="C90" s="23">
        <f t="shared" si="6"/>
        <v>11790.54319985234</v>
      </c>
      <c r="D90" s="23">
        <f t="shared" si="7"/>
        <v>108450.82466753916</v>
      </c>
      <c r="E90" s="23">
        <f t="shared" si="8"/>
        <v>228421.83818538481</v>
      </c>
      <c r="G90" s="4">
        <f t="shared" si="9"/>
        <v>-120241.3678673915</v>
      </c>
    </row>
    <row r="91" spans="1:7" x14ac:dyDescent="0.4">
      <c r="A91" s="10">
        <v>9</v>
      </c>
      <c r="B91" s="23">
        <f t="shared" si="5"/>
        <v>120241.3678673915</v>
      </c>
      <c r="C91" s="23">
        <f t="shared" si="6"/>
        <v>7994.7643364884689</v>
      </c>
      <c r="D91" s="23">
        <f t="shared" si="7"/>
        <v>112246.60353090303</v>
      </c>
      <c r="E91" s="23">
        <f t="shared" si="8"/>
        <v>116175.23465448178</v>
      </c>
      <c r="G91" s="4">
        <f t="shared" si="9"/>
        <v>-120241.3678673915</v>
      </c>
    </row>
    <row r="92" spans="1:7" x14ac:dyDescent="0.4">
      <c r="A92" s="10">
        <v>10</v>
      </c>
      <c r="B92" s="23">
        <f t="shared" si="5"/>
        <v>120241.3678673915</v>
      </c>
      <c r="C92" s="23">
        <f t="shared" si="6"/>
        <v>4066.1332129068628</v>
      </c>
      <c r="D92" s="23">
        <f t="shared" si="7"/>
        <v>116175.23465448464</v>
      </c>
      <c r="E92" s="23">
        <f t="shared" si="8"/>
        <v>-2.852175384759903E-9</v>
      </c>
      <c r="G92" s="4">
        <f t="shared" si="9"/>
        <v>-120241.3678673915</v>
      </c>
    </row>
    <row r="93" spans="1:7" x14ac:dyDescent="0.4">
      <c r="A93" s="10"/>
      <c r="B93" s="10"/>
      <c r="C93" s="10"/>
      <c r="D93" s="10"/>
      <c r="E93" s="10"/>
    </row>
    <row r="94" spans="1:7" x14ac:dyDescent="0.4">
      <c r="A94" s="10" t="s">
        <v>41</v>
      </c>
      <c r="B94" s="23">
        <f>SUM(B83:B92)</f>
        <v>1202413.6786739153</v>
      </c>
      <c r="C94" s="23">
        <f>SUM(C83:C92)</f>
        <v>202413.67867391219</v>
      </c>
      <c r="D94" s="23">
        <f>SUM(D83:D92)</f>
        <v>1000000.0000000028</v>
      </c>
      <c r="E94" s="10"/>
    </row>
    <row r="96" spans="1:7" x14ac:dyDescent="0.4">
      <c r="A96" s="6" t="s">
        <v>42</v>
      </c>
    </row>
    <row r="97" spans="1:5" x14ac:dyDescent="0.4">
      <c r="A97" t="s">
        <v>7</v>
      </c>
      <c r="B97" s="4">
        <v>250000</v>
      </c>
    </row>
    <row r="98" spans="1:5" x14ac:dyDescent="0.4">
      <c r="A98" t="s">
        <v>34</v>
      </c>
      <c r="B98">
        <v>15</v>
      </c>
    </row>
    <row r="99" spans="1:5" x14ac:dyDescent="0.4">
      <c r="A99" t="s">
        <v>8</v>
      </c>
      <c r="B99" s="2">
        <v>3.2000000000000001E-2</v>
      </c>
    </row>
    <row r="100" spans="1:5" x14ac:dyDescent="0.4">
      <c r="A100" t="s">
        <v>43</v>
      </c>
      <c r="B100">
        <f>B98*12</f>
        <v>180</v>
      </c>
    </row>
    <row r="101" spans="1:5" x14ac:dyDescent="0.4">
      <c r="A101" t="s">
        <v>44</v>
      </c>
      <c r="B101" s="24">
        <f>B99/12</f>
        <v>2.6666666666666666E-3</v>
      </c>
    </row>
    <row r="102" spans="1:5" x14ac:dyDescent="0.4">
      <c r="A102" t="s">
        <v>45</v>
      </c>
      <c r="B102" s="5">
        <f>B97*B101/(1-(1+B101)^-B100)</f>
        <v>1750.6029894702742</v>
      </c>
    </row>
    <row r="103" spans="1:5" x14ac:dyDescent="0.4">
      <c r="A103" t="s">
        <v>37</v>
      </c>
      <c r="B103" s="5">
        <f>B102*B100-B97</f>
        <v>65108.538104649342</v>
      </c>
    </row>
    <row r="105" spans="1:5" x14ac:dyDescent="0.4">
      <c r="A105" s="10"/>
      <c r="B105" s="10"/>
      <c r="C105" s="10"/>
      <c r="D105" s="10"/>
      <c r="E105" s="7" t="s">
        <v>40</v>
      </c>
    </row>
    <row r="106" spans="1:5" x14ac:dyDescent="0.4">
      <c r="A106" s="7" t="s">
        <v>46</v>
      </c>
      <c r="B106" s="7" t="s">
        <v>38</v>
      </c>
      <c r="C106" s="7" t="s">
        <v>39</v>
      </c>
      <c r="D106" s="7" t="s">
        <v>7</v>
      </c>
      <c r="E106" s="23">
        <f>B97</f>
        <v>250000</v>
      </c>
    </row>
    <row r="107" spans="1:5" x14ac:dyDescent="0.4">
      <c r="A107" s="10">
        <v>1</v>
      </c>
      <c r="B107" s="23">
        <f>$B$102</f>
        <v>1750.6029894702742</v>
      </c>
      <c r="C107" s="23">
        <f>E106*$B$101</f>
        <v>666.66666666666663</v>
      </c>
      <c r="D107" s="23">
        <f>B107-C107</f>
        <v>1083.9363228036077</v>
      </c>
      <c r="E107" s="23">
        <f>E106-D107</f>
        <v>248916.06367719639</v>
      </c>
    </row>
    <row r="108" spans="1:5" x14ac:dyDescent="0.4">
      <c r="A108" s="10">
        <v>2</v>
      </c>
      <c r="B108" s="23">
        <f t="shared" ref="B108:B171" si="10">$B$102</f>
        <v>1750.6029894702742</v>
      </c>
      <c r="C108" s="23">
        <f t="shared" ref="C108:C171" si="11">E107*$B$101</f>
        <v>663.77616980585697</v>
      </c>
      <c r="D108" s="23">
        <f t="shared" ref="D108:D171" si="12">B108-C108</f>
        <v>1086.8268196644171</v>
      </c>
      <c r="E108" s="23">
        <f t="shared" ref="E108:E171" si="13">E107-D108</f>
        <v>247829.23685753197</v>
      </c>
    </row>
    <row r="109" spans="1:5" x14ac:dyDescent="0.4">
      <c r="A109" s="10">
        <v>3</v>
      </c>
      <c r="B109" s="23">
        <f t="shared" si="10"/>
        <v>1750.6029894702742</v>
      </c>
      <c r="C109" s="23">
        <f t="shared" si="11"/>
        <v>660.87796495341854</v>
      </c>
      <c r="D109" s="23">
        <f t="shared" si="12"/>
        <v>1089.7250245168557</v>
      </c>
      <c r="E109" s="23">
        <f t="shared" si="13"/>
        <v>246739.5118330151</v>
      </c>
    </row>
    <row r="110" spans="1:5" x14ac:dyDescent="0.4">
      <c r="A110" s="10">
        <v>4</v>
      </c>
      <c r="B110" s="23">
        <f t="shared" si="10"/>
        <v>1750.6029894702742</v>
      </c>
      <c r="C110" s="23">
        <f t="shared" si="11"/>
        <v>657.97203155470686</v>
      </c>
      <c r="D110" s="23">
        <f t="shared" si="12"/>
        <v>1092.6309579155673</v>
      </c>
      <c r="E110" s="23">
        <f t="shared" si="13"/>
        <v>245646.88087509954</v>
      </c>
    </row>
    <row r="111" spans="1:5" x14ac:dyDescent="0.4">
      <c r="A111" s="10">
        <v>5</v>
      </c>
      <c r="B111" s="23">
        <f t="shared" si="10"/>
        <v>1750.6029894702742</v>
      </c>
      <c r="C111" s="23">
        <f t="shared" si="11"/>
        <v>655.05834900026537</v>
      </c>
      <c r="D111" s="23">
        <f t="shared" si="12"/>
        <v>1095.5446404700087</v>
      </c>
      <c r="E111" s="23">
        <f t="shared" si="13"/>
        <v>244551.33623462953</v>
      </c>
    </row>
    <row r="112" spans="1:5" x14ac:dyDescent="0.4">
      <c r="A112" s="10">
        <v>6</v>
      </c>
      <c r="B112" s="23">
        <f t="shared" si="10"/>
        <v>1750.6029894702742</v>
      </c>
      <c r="C112" s="23">
        <f t="shared" si="11"/>
        <v>652.13689662567879</v>
      </c>
      <c r="D112" s="23">
        <f t="shared" si="12"/>
        <v>1098.4660928445956</v>
      </c>
      <c r="E112" s="23">
        <f t="shared" si="13"/>
        <v>243452.87014178495</v>
      </c>
    </row>
    <row r="113" spans="1:5" x14ac:dyDescent="0.4">
      <c r="A113" s="10">
        <v>7</v>
      </c>
      <c r="B113" s="23">
        <f t="shared" si="10"/>
        <v>1750.6029894702742</v>
      </c>
      <c r="C113" s="23">
        <f t="shared" si="11"/>
        <v>649.20765371142647</v>
      </c>
      <c r="D113" s="23">
        <f t="shared" si="12"/>
        <v>1101.3953357588478</v>
      </c>
      <c r="E113" s="23">
        <f t="shared" si="13"/>
        <v>242351.47480602609</v>
      </c>
    </row>
    <row r="114" spans="1:5" x14ac:dyDescent="0.4">
      <c r="A114" s="10">
        <v>8</v>
      </c>
      <c r="B114" s="23">
        <f t="shared" si="10"/>
        <v>1750.6029894702742</v>
      </c>
      <c r="C114" s="23">
        <f t="shared" si="11"/>
        <v>646.2705994827362</v>
      </c>
      <c r="D114" s="23">
        <f t="shared" si="12"/>
        <v>1104.3323899875381</v>
      </c>
      <c r="E114" s="23">
        <f t="shared" si="13"/>
        <v>241247.14241603855</v>
      </c>
    </row>
    <row r="115" spans="1:5" x14ac:dyDescent="0.4">
      <c r="A115" s="10">
        <v>9</v>
      </c>
      <c r="B115" s="23">
        <f t="shared" si="10"/>
        <v>1750.6029894702742</v>
      </c>
      <c r="C115" s="23">
        <f t="shared" si="11"/>
        <v>643.32571310943615</v>
      </c>
      <c r="D115" s="23">
        <f t="shared" si="12"/>
        <v>1107.2772763608382</v>
      </c>
      <c r="E115" s="23">
        <f t="shared" si="13"/>
        <v>240139.86513967771</v>
      </c>
    </row>
    <row r="116" spans="1:5" x14ac:dyDescent="0.4">
      <c r="A116" s="10">
        <v>10</v>
      </c>
      <c r="B116" s="23">
        <f t="shared" si="10"/>
        <v>1750.6029894702742</v>
      </c>
      <c r="C116" s="23">
        <f t="shared" si="11"/>
        <v>640.37297370580723</v>
      </c>
      <c r="D116" s="23">
        <f t="shared" si="12"/>
        <v>1110.230015764467</v>
      </c>
      <c r="E116" s="23">
        <f t="shared" si="13"/>
        <v>239029.63512391323</v>
      </c>
    </row>
    <row r="117" spans="1:5" x14ac:dyDescent="0.4">
      <c r="A117" s="10">
        <v>11</v>
      </c>
      <c r="B117" s="23">
        <f t="shared" si="10"/>
        <v>1750.6029894702742</v>
      </c>
      <c r="C117" s="23">
        <f t="shared" si="11"/>
        <v>637.41236033043526</v>
      </c>
      <c r="D117" s="23">
        <f t="shared" si="12"/>
        <v>1113.1906291398391</v>
      </c>
      <c r="E117" s="23">
        <f t="shared" si="13"/>
        <v>237916.4444947734</v>
      </c>
    </row>
    <row r="118" spans="1:5" x14ac:dyDescent="0.4">
      <c r="A118" s="10">
        <v>12</v>
      </c>
      <c r="B118" s="23">
        <f t="shared" si="10"/>
        <v>1750.6029894702742</v>
      </c>
      <c r="C118" s="23">
        <f t="shared" si="11"/>
        <v>634.44385198606233</v>
      </c>
      <c r="D118" s="23">
        <f t="shared" si="12"/>
        <v>1116.1591374842119</v>
      </c>
      <c r="E118" s="23">
        <f t="shared" si="13"/>
        <v>236800.28535728919</v>
      </c>
    </row>
    <row r="119" spans="1:5" x14ac:dyDescent="0.4">
      <c r="A119" s="10">
        <v>13</v>
      </c>
      <c r="B119" s="23">
        <f t="shared" si="10"/>
        <v>1750.6029894702742</v>
      </c>
      <c r="C119" s="23">
        <f t="shared" si="11"/>
        <v>631.46742761943779</v>
      </c>
      <c r="D119" s="23">
        <f t="shared" si="12"/>
        <v>1119.1355618508364</v>
      </c>
      <c r="E119" s="23">
        <f t="shared" si="13"/>
        <v>235681.14979543837</v>
      </c>
    </row>
    <row r="120" spans="1:5" x14ac:dyDescent="0.4">
      <c r="A120" s="10">
        <v>14</v>
      </c>
      <c r="B120" s="23">
        <f t="shared" si="10"/>
        <v>1750.6029894702742</v>
      </c>
      <c r="C120" s="23">
        <f t="shared" si="11"/>
        <v>628.48306612116892</v>
      </c>
      <c r="D120" s="23">
        <f t="shared" si="12"/>
        <v>1122.1199233491052</v>
      </c>
      <c r="E120" s="23">
        <f t="shared" si="13"/>
        <v>234559.02987208928</v>
      </c>
    </row>
    <row r="121" spans="1:5" x14ac:dyDescent="0.4">
      <c r="A121" s="10">
        <v>15</v>
      </c>
      <c r="B121" s="23">
        <f t="shared" si="10"/>
        <v>1750.6029894702742</v>
      </c>
      <c r="C121" s="23">
        <f t="shared" si="11"/>
        <v>625.49074632557142</v>
      </c>
      <c r="D121" s="23">
        <f t="shared" si="12"/>
        <v>1125.1122431447029</v>
      </c>
      <c r="E121" s="23">
        <f t="shared" si="13"/>
        <v>233433.91762894456</v>
      </c>
    </row>
    <row r="122" spans="1:5" x14ac:dyDescent="0.4">
      <c r="A122" s="10">
        <v>16</v>
      </c>
      <c r="B122" s="23">
        <f t="shared" si="10"/>
        <v>1750.6029894702742</v>
      </c>
      <c r="C122" s="23">
        <f t="shared" si="11"/>
        <v>622.49044701051878</v>
      </c>
      <c r="D122" s="23">
        <f t="shared" si="12"/>
        <v>1128.1125424597553</v>
      </c>
      <c r="E122" s="23">
        <f t="shared" si="13"/>
        <v>232305.80508648482</v>
      </c>
    </row>
    <row r="123" spans="1:5" x14ac:dyDescent="0.4">
      <c r="A123" s="10">
        <v>17</v>
      </c>
      <c r="B123" s="23">
        <f t="shared" si="10"/>
        <v>1750.6029894702742</v>
      </c>
      <c r="C123" s="23">
        <f t="shared" si="11"/>
        <v>619.48214689729286</v>
      </c>
      <c r="D123" s="23">
        <f t="shared" si="12"/>
        <v>1131.1208425729815</v>
      </c>
      <c r="E123" s="23">
        <f t="shared" si="13"/>
        <v>231174.68424391185</v>
      </c>
    </row>
    <row r="124" spans="1:5" x14ac:dyDescent="0.4">
      <c r="A124" s="10">
        <v>18</v>
      </c>
      <c r="B124" s="23">
        <f t="shared" si="10"/>
        <v>1750.6029894702742</v>
      </c>
      <c r="C124" s="23">
        <f t="shared" si="11"/>
        <v>616.46582465043161</v>
      </c>
      <c r="D124" s="23">
        <f t="shared" si="12"/>
        <v>1134.1371648198426</v>
      </c>
      <c r="E124" s="23">
        <f t="shared" si="13"/>
        <v>230040.54707909201</v>
      </c>
    </row>
    <row r="125" spans="1:5" x14ac:dyDescent="0.4">
      <c r="A125" s="10">
        <v>19</v>
      </c>
      <c r="B125" s="23">
        <f t="shared" si="10"/>
        <v>1750.6029894702742</v>
      </c>
      <c r="C125" s="23">
        <f t="shared" si="11"/>
        <v>613.44145887757861</v>
      </c>
      <c r="D125" s="23">
        <f t="shared" si="12"/>
        <v>1137.1615305926957</v>
      </c>
      <c r="E125" s="23">
        <f t="shared" si="13"/>
        <v>228903.38554849933</v>
      </c>
    </row>
    <row r="126" spans="1:5" x14ac:dyDescent="0.4">
      <c r="A126" s="10">
        <v>20</v>
      </c>
      <c r="B126" s="23">
        <f t="shared" si="10"/>
        <v>1750.6029894702742</v>
      </c>
      <c r="C126" s="23">
        <f t="shared" si="11"/>
        <v>610.40902812933155</v>
      </c>
      <c r="D126" s="23">
        <f t="shared" si="12"/>
        <v>1140.1939613409427</v>
      </c>
      <c r="E126" s="23">
        <f t="shared" si="13"/>
        <v>227763.19158715839</v>
      </c>
    </row>
    <row r="127" spans="1:5" x14ac:dyDescent="0.4">
      <c r="A127" s="10">
        <v>21</v>
      </c>
      <c r="B127" s="23">
        <f t="shared" si="10"/>
        <v>1750.6029894702742</v>
      </c>
      <c r="C127" s="23">
        <f t="shared" si="11"/>
        <v>607.36851089908907</v>
      </c>
      <c r="D127" s="23">
        <f t="shared" si="12"/>
        <v>1143.2344785711853</v>
      </c>
      <c r="E127" s="23">
        <f t="shared" si="13"/>
        <v>226619.9571085872</v>
      </c>
    </row>
    <row r="128" spans="1:5" x14ac:dyDescent="0.4">
      <c r="A128" s="10">
        <v>22</v>
      </c>
      <c r="B128" s="23">
        <f t="shared" si="10"/>
        <v>1750.6029894702742</v>
      </c>
      <c r="C128" s="23">
        <f t="shared" si="11"/>
        <v>604.31988562289916</v>
      </c>
      <c r="D128" s="23">
        <f t="shared" si="12"/>
        <v>1146.2831038473751</v>
      </c>
      <c r="E128" s="23">
        <f t="shared" si="13"/>
        <v>225473.67400473982</v>
      </c>
    </row>
    <row r="129" spans="1:5" x14ac:dyDescent="0.4">
      <c r="A129" s="10">
        <v>23</v>
      </c>
      <c r="B129" s="23">
        <f t="shared" si="10"/>
        <v>1750.6029894702742</v>
      </c>
      <c r="C129" s="23">
        <f t="shared" si="11"/>
        <v>601.26313067930619</v>
      </c>
      <c r="D129" s="23">
        <f t="shared" si="12"/>
        <v>1149.339858790968</v>
      </c>
      <c r="E129" s="23">
        <f t="shared" si="13"/>
        <v>224324.33414594884</v>
      </c>
    </row>
    <row r="130" spans="1:5" x14ac:dyDescent="0.4">
      <c r="A130" s="10">
        <v>24</v>
      </c>
      <c r="B130" s="23">
        <f t="shared" si="10"/>
        <v>1750.6029894702742</v>
      </c>
      <c r="C130" s="23">
        <f t="shared" si="11"/>
        <v>598.19822438919687</v>
      </c>
      <c r="D130" s="23">
        <f t="shared" si="12"/>
        <v>1152.4047650810774</v>
      </c>
      <c r="E130" s="23">
        <f t="shared" si="13"/>
        <v>223171.92938086778</v>
      </c>
    </row>
    <row r="131" spans="1:5" x14ac:dyDescent="0.4">
      <c r="A131" s="10">
        <v>25</v>
      </c>
      <c r="B131" s="23">
        <f t="shared" si="10"/>
        <v>1750.6029894702742</v>
      </c>
      <c r="C131" s="23">
        <f t="shared" si="11"/>
        <v>595.12514501564738</v>
      </c>
      <c r="D131" s="23">
        <f t="shared" si="12"/>
        <v>1155.4778444546268</v>
      </c>
      <c r="E131" s="23">
        <f t="shared" si="13"/>
        <v>222016.45153641314</v>
      </c>
    </row>
    <row r="132" spans="1:5" x14ac:dyDescent="0.4">
      <c r="A132" s="10">
        <v>26</v>
      </c>
      <c r="B132" s="23">
        <f t="shared" si="10"/>
        <v>1750.6029894702742</v>
      </c>
      <c r="C132" s="23">
        <f t="shared" si="11"/>
        <v>592.04387076376838</v>
      </c>
      <c r="D132" s="23">
        <f t="shared" si="12"/>
        <v>1158.5591187065058</v>
      </c>
      <c r="E132" s="23">
        <f t="shared" si="13"/>
        <v>220857.89241770664</v>
      </c>
    </row>
    <row r="133" spans="1:5" x14ac:dyDescent="0.4">
      <c r="A133" s="10">
        <v>27</v>
      </c>
      <c r="B133" s="23">
        <f t="shared" si="10"/>
        <v>1750.6029894702742</v>
      </c>
      <c r="C133" s="23">
        <f t="shared" si="11"/>
        <v>588.95437978055099</v>
      </c>
      <c r="D133" s="23">
        <f t="shared" si="12"/>
        <v>1161.6486096897233</v>
      </c>
      <c r="E133" s="23">
        <f t="shared" si="13"/>
        <v>219696.24380801691</v>
      </c>
    </row>
    <row r="134" spans="1:5" x14ac:dyDescent="0.4">
      <c r="A134" s="10">
        <v>28</v>
      </c>
      <c r="B134" s="23">
        <f t="shared" si="10"/>
        <v>1750.6029894702742</v>
      </c>
      <c r="C134" s="23">
        <f t="shared" si="11"/>
        <v>585.8566501547117</v>
      </c>
      <c r="D134" s="23">
        <f t="shared" si="12"/>
        <v>1164.7463393155626</v>
      </c>
      <c r="E134" s="23">
        <f t="shared" si="13"/>
        <v>218531.49746870136</v>
      </c>
    </row>
    <row r="135" spans="1:5" x14ac:dyDescent="0.4">
      <c r="A135" s="10">
        <v>29</v>
      </c>
      <c r="B135" s="23">
        <f t="shared" si="10"/>
        <v>1750.6029894702742</v>
      </c>
      <c r="C135" s="23">
        <f t="shared" si="11"/>
        <v>582.75065991653696</v>
      </c>
      <c r="D135" s="23">
        <f t="shared" si="12"/>
        <v>1167.8523295537373</v>
      </c>
      <c r="E135" s="23">
        <f t="shared" si="13"/>
        <v>217363.64513914761</v>
      </c>
    </row>
    <row r="136" spans="1:5" x14ac:dyDescent="0.4">
      <c r="A136" s="10">
        <v>30</v>
      </c>
      <c r="B136" s="23">
        <f t="shared" si="10"/>
        <v>1750.6029894702742</v>
      </c>
      <c r="C136" s="23">
        <f t="shared" si="11"/>
        <v>579.63638703772699</v>
      </c>
      <c r="D136" s="23">
        <f t="shared" si="12"/>
        <v>1170.9666024325472</v>
      </c>
      <c r="E136" s="23">
        <f t="shared" si="13"/>
        <v>216192.67853671507</v>
      </c>
    </row>
    <row r="137" spans="1:5" x14ac:dyDescent="0.4">
      <c r="A137" s="10">
        <v>31</v>
      </c>
      <c r="B137" s="23">
        <f t="shared" si="10"/>
        <v>1750.6029894702742</v>
      </c>
      <c r="C137" s="23">
        <f t="shared" si="11"/>
        <v>576.51380943124013</v>
      </c>
      <c r="D137" s="23">
        <f t="shared" si="12"/>
        <v>1174.0891800390341</v>
      </c>
      <c r="E137" s="23">
        <f t="shared" si="13"/>
        <v>215018.58935667604</v>
      </c>
    </row>
    <row r="138" spans="1:5" x14ac:dyDescent="0.4">
      <c r="A138" s="10">
        <v>32</v>
      </c>
      <c r="B138" s="23">
        <f t="shared" si="10"/>
        <v>1750.6029894702742</v>
      </c>
      <c r="C138" s="23">
        <f t="shared" si="11"/>
        <v>573.38290495113608</v>
      </c>
      <c r="D138" s="23">
        <f t="shared" si="12"/>
        <v>1177.2200845191383</v>
      </c>
      <c r="E138" s="23">
        <f t="shared" si="13"/>
        <v>213841.36927215691</v>
      </c>
    </row>
    <row r="139" spans="1:5" x14ac:dyDescent="0.4">
      <c r="A139" s="10">
        <v>33</v>
      </c>
      <c r="B139" s="23">
        <f t="shared" si="10"/>
        <v>1750.6029894702742</v>
      </c>
      <c r="C139" s="23">
        <f t="shared" si="11"/>
        <v>570.24365139241843</v>
      </c>
      <c r="D139" s="23">
        <f t="shared" si="12"/>
        <v>1180.3593380778557</v>
      </c>
      <c r="E139" s="23">
        <f t="shared" si="13"/>
        <v>212661.00993407905</v>
      </c>
    </row>
    <row r="140" spans="1:5" x14ac:dyDescent="0.4">
      <c r="A140" s="10">
        <v>34</v>
      </c>
      <c r="B140" s="23">
        <f t="shared" si="10"/>
        <v>1750.6029894702742</v>
      </c>
      <c r="C140" s="23">
        <f t="shared" si="11"/>
        <v>567.09602649087742</v>
      </c>
      <c r="D140" s="23">
        <f t="shared" si="12"/>
        <v>1183.5069629793968</v>
      </c>
      <c r="E140" s="23">
        <f t="shared" si="13"/>
        <v>211477.50297109966</v>
      </c>
    </row>
    <row r="141" spans="1:5" x14ac:dyDescent="0.4">
      <c r="A141" s="10">
        <v>35</v>
      </c>
      <c r="B141" s="23">
        <f t="shared" si="10"/>
        <v>1750.6029894702742</v>
      </c>
      <c r="C141" s="23">
        <f t="shared" si="11"/>
        <v>563.94000792293241</v>
      </c>
      <c r="D141" s="23">
        <f t="shared" si="12"/>
        <v>1186.6629815473418</v>
      </c>
      <c r="E141" s="23">
        <f t="shared" si="13"/>
        <v>210290.83998955233</v>
      </c>
    </row>
    <row r="142" spans="1:5" x14ac:dyDescent="0.4">
      <c r="A142" s="10">
        <v>36</v>
      </c>
      <c r="B142" s="23">
        <f t="shared" si="10"/>
        <v>1750.6029894702742</v>
      </c>
      <c r="C142" s="23">
        <f t="shared" si="11"/>
        <v>560.7755733054729</v>
      </c>
      <c r="D142" s="23">
        <f t="shared" si="12"/>
        <v>1189.8274161648014</v>
      </c>
      <c r="E142" s="23">
        <f t="shared" si="13"/>
        <v>209101.01257338753</v>
      </c>
    </row>
    <row r="143" spans="1:5" x14ac:dyDescent="0.4">
      <c r="A143" s="10">
        <v>37</v>
      </c>
      <c r="B143" s="23">
        <f t="shared" si="10"/>
        <v>1750.6029894702742</v>
      </c>
      <c r="C143" s="23">
        <f t="shared" si="11"/>
        <v>557.60270019570009</v>
      </c>
      <c r="D143" s="23">
        <f t="shared" si="12"/>
        <v>1193.0002892745742</v>
      </c>
      <c r="E143" s="23">
        <f t="shared" si="13"/>
        <v>207908.01228411295</v>
      </c>
    </row>
    <row r="144" spans="1:5" x14ac:dyDescent="0.4">
      <c r="A144" s="10">
        <v>38</v>
      </c>
      <c r="B144" s="23">
        <f t="shared" si="10"/>
        <v>1750.6029894702742</v>
      </c>
      <c r="C144" s="23">
        <f t="shared" si="11"/>
        <v>554.42136609096781</v>
      </c>
      <c r="D144" s="23">
        <f t="shared" si="12"/>
        <v>1196.1816233793065</v>
      </c>
      <c r="E144" s="23">
        <f t="shared" si="13"/>
        <v>206711.83066073366</v>
      </c>
    </row>
    <row r="145" spans="1:5" x14ac:dyDescent="0.4">
      <c r="A145" s="10">
        <v>39</v>
      </c>
      <c r="B145" s="23">
        <f t="shared" si="10"/>
        <v>1750.6029894702742</v>
      </c>
      <c r="C145" s="23">
        <f t="shared" si="11"/>
        <v>551.23154842862311</v>
      </c>
      <c r="D145" s="23">
        <f t="shared" si="12"/>
        <v>1199.371441041651</v>
      </c>
      <c r="E145" s="23">
        <f t="shared" si="13"/>
        <v>205512.45921969201</v>
      </c>
    </row>
    <row r="146" spans="1:5" x14ac:dyDescent="0.4">
      <c r="A146" s="10">
        <v>40</v>
      </c>
      <c r="B146" s="23">
        <f t="shared" si="10"/>
        <v>1750.6029894702742</v>
      </c>
      <c r="C146" s="23">
        <f t="shared" si="11"/>
        <v>548.03322458584535</v>
      </c>
      <c r="D146" s="23">
        <f t="shared" si="12"/>
        <v>1202.5697648844289</v>
      </c>
      <c r="E146" s="23">
        <f t="shared" si="13"/>
        <v>204309.88945480759</v>
      </c>
    </row>
    <row r="147" spans="1:5" x14ac:dyDescent="0.4">
      <c r="A147" s="10">
        <v>41</v>
      </c>
      <c r="B147" s="23">
        <f t="shared" si="10"/>
        <v>1750.6029894702742</v>
      </c>
      <c r="C147" s="23">
        <f t="shared" si="11"/>
        <v>544.82637187948694</v>
      </c>
      <c r="D147" s="23">
        <f t="shared" si="12"/>
        <v>1205.7766175907873</v>
      </c>
      <c r="E147" s="23">
        <f t="shared" si="13"/>
        <v>203104.11283721682</v>
      </c>
    </row>
    <row r="148" spans="1:5" x14ac:dyDescent="0.4">
      <c r="A148" s="10">
        <v>42</v>
      </c>
      <c r="B148" s="23">
        <f t="shared" si="10"/>
        <v>1750.6029894702742</v>
      </c>
      <c r="C148" s="23">
        <f t="shared" si="11"/>
        <v>541.61096756591144</v>
      </c>
      <c r="D148" s="23">
        <f t="shared" si="12"/>
        <v>1208.9920219043629</v>
      </c>
      <c r="E148" s="23">
        <f t="shared" si="13"/>
        <v>201895.12081531246</v>
      </c>
    </row>
    <row r="149" spans="1:5" x14ac:dyDescent="0.4">
      <c r="A149" s="10">
        <v>43</v>
      </c>
      <c r="B149" s="23">
        <f t="shared" si="10"/>
        <v>1750.6029894702742</v>
      </c>
      <c r="C149" s="23">
        <f t="shared" si="11"/>
        <v>538.38698884083317</v>
      </c>
      <c r="D149" s="23">
        <f t="shared" si="12"/>
        <v>1212.2160006294412</v>
      </c>
      <c r="E149" s="23">
        <f t="shared" si="13"/>
        <v>200682.90481468302</v>
      </c>
    </row>
    <row r="150" spans="1:5" x14ac:dyDescent="0.4">
      <c r="A150" s="10">
        <v>44</v>
      </c>
      <c r="B150" s="23">
        <f t="shared" si="10"/>
        <v>1750.6029894702742</v>
      </c>
      <c r="C150" s="23">
        <f t="shared" si="11"/>
        <v>535.1544128391547</v>
      </c>
      <c r="D150" s="23">
        <f t="shared" si="12"/>
        <v>1215.4485766311195</v>
      </c>
      <c r="E150" s="23">
        <f t="shared" si="13"/>
        <v>199467.45623805191</v>
      </c>
    </row>
    <row r="151" spans="1:5" x14ac:dyDescent="0.4">
      <c r="A151" s="10">
        <v>45</v>
      </c>
      <c r="B151" s="23">
        <f t="shared" si="10"/>
        <v>1750.6029894702742</v>
      </c>
      <c r="C151" s="23">
        <f t="shared" si="11"/>
        <v>531.91321663480505</v>
      </c>
      <c r="D151" s="23">
        <f t="shared" si="12"/>
        <v>1218.6897728354693</v>
      </c>
      <c r="E151" s="23">
        <f t="shared" si="13"/>
        <v>198248.76646521644</v>
      </c>
    </row>
    <row r="152" spans="1:5" x14ac:dyDescent="0.4">
      <c r="A152" s="10">
        <v>46</v>
      </c>
      <c r="B152" s="23">
        <f t="shared" si="10"/>
        <v>1750.6029894702742</v>
      </c>
      <c r="C152" s="23">
        <f t="shared" si="11"/>
        <v>528.66337724057712</v>
      </c>
      <c r="D152" s="23">
        <f t="shared" si="12"/>
        <v>1221.9396122296971</v>
      </c>
      <c r="E152" s="23">
        <f t="shared" si="13"/>
        <v>197026.82685298673</v>
      </c>
    </row>
    <row r="153" spans="1:5" x14ac:dyDescent="0.4">
      <c r="A153" s="10">
        <v>47</v>
      </c>
      <c r="B153" s="23">
        <f t="shared" si="10"/>
        <v>1750.6029894702742</v>
      </c>
      <c r="C153" s="23">
        <f t="shared" si="11"/>
        <v>525.40487160796465</v>
      </c>
      <c r="D153" s="23">
        <f t="shared" si="12"/>
        <v>1225.1981178623096</v>
      </c>
      <c r="E153" s="23">
        <f t="shared" si="13"/>
        <v>195801.62873512442</v>
      </c>
    </row>
    <row r="154" spans="1:5" x14ac:dyDescent="0.4">
      <c r="A154" s="10">
        <v>48</v>
      </c>
      <c r="B154" s="23">
        <f t="shared" si="10"/>
        <v>1750.6029894702742</v>
      </c>
      <c r="C154" s="23">
        <f t="shared" si="11"/>
        <v>522.13767662699843</v>
      </c>
      <c r="D154" s="23">
        <f t="shared" si="12"/>
        <v>1228.4653128432758</v>
      </c>
      <c r="E154" s="23">
        <f t="shared" si="13"/>
        <v>194573.16342228116</v>
      </c>
    </row>
    <row r="155" spans="1:5" x14ac:dyDescent="0.4">
      <c r="A155" s="10">
        <v>49</v>
      </c>
      <c r="B155" s="23">
        <f t="shared" si="10"/>
        <v>1750.6029894702742</v>
      </c>
      <c r="C155" s="23">
        <f t="shared" si="11"/>
        <v>518.86176912608312</v>
      </c>
      <c r="D155" s="23">
        <f t="shared" si="12"/>
        <v>1231.7412203441911</v>
      </c>
      <c r="E155" s="23">
        <f t="shared" si="13"/>
        <v>193341.42220193698</v>
      </c>
    </row>
    <row r="156" spans="1:5" x14ac:dyDescent="0.4">
      <c r="A156" s="10">
        <v>50</v>
      </c>
      <c r="B156" s="23">
        <f t="shared" si="10"/>
        <v>1750.6029894702742</v>
      </c>
      <c r="C156" s="23">
        <f t="shared" si="11"/>
        <v>515.57712587183187</v>
      </c>
      <c r="D156" s="23">
        <f t="shared" si="12"/>
        <v>1235.0258635984424</v>
      </c>
      <c r="E156" s="23">
        <f t="shared" si="13"/>
        <v>192106.39633833853</v>
      </c>
    </row>
    <row r="157" spans="1:5" x14ac:dyDescent="0.4">
      <c r="A157" s="10">
        <v>51</v>
      </c>
      <c r="B157" s="23">
        <f t="shared" si="10"/>
        <v>1750.6029894702742</v>
      </c>
      <c r="C157" s="23">
        <f t="shared" si="11"/>
        <v>512.2837235689027</v>
      </c>
      <c r="D157" s="23">
        <f t="shared" si="12"/>
        <v>1238.3192659013716</v>
      </c>
      <c r="E157" s="23">
        <f t="shared" si="13"/>
        <v>190868.07707243715</v>
      </c>
    </row>
    <row r="158" spans="1:5" x14ac:dyDescent="0.4">
      <c r="A158" s="10">
        <v>52</v>
      </c>
      <c r="B158" s="23">
        <f t="shared" si="10"/>
        <v>1750.6029894702742</v>
      </c>
      <c r="C158" s="23">
        <f t="shared" si="11"/>
        <v>508.98153885983237</v>
      </c>
      <c r="D158" s="23">
        <f t="shared" si="12"/>
        <v>1241.6214506104418</v>
      </c>
      <c r="E158" s="23">
        <f t="shared" si="13"/>
        <v>189626.45562182672</v>
      </c>
    </row>
    <row r="159" spans="1:5" x14ac:dyDescent="0.4">
      <c r="A159" s="10">
        <v>53</v>
      </c>
      <c r="B159" s="23">
        <f t="shared" si="10"/>
        <v>1750.6029894702742</v>
      </c>
      <c r="C159" s="23">
        <f t="shared" si="11"/>
        <v>505.67054832487122</v>
      </c>
      <c r="D159" s="23">
        <f t="shared" si="12"/>
        <v>1244.9324411454031</v>
      </c>
      <c r="E159" s="23">
        <f t="shared" si="13"/>
        <v>188381.52318068131</v>
      </c>
    </row>
    <row r="160" spans="1:5" x14ac:dyDescent="0.4">
      <c r="A160" s="10">
        <v>54</v>
      </c>
      <c r="B160" s="23">
        <f t="shared" si="10"/>
        <v>1750.6029894702742</v>
      </c>
      <c r="C160" s="23">
        <f t="shared" si="11"/>
        <v>502.35072848181682</v>
      </c>
      <c r="D160" s="23">
        <f t="shared" si="12"/>
        <v>1248.2522609884575</v>
      </c>
      <c r="E160" s="23">
        <f t="shared" si="13"/>
        <v>187133.27091969285</v>
      </c>
    </row>
    <row r="161" spans="1:5" x14ac:dyDescent="0.4">
      <c r="A161" s="10">
        <v>55</v>
      </c>
      <c r="B161" s="23">
        <f t="shared" si="10"/>
        <v>1750.6029894702742</v>
      </c>
      <c r="C161" s="23">
        <f t="shared" si="11"/>
        <v>499.02205578584756</v>
      </c>
      <c r="D161" s="23">
        <f t="shared" si="12"/>
        <v>1251.5809336844268</v>
      </c>
      <c r="E161" s="23">
        <f t="shared" si="13"/>
        <v>185881.68998600842</v>
      </c>
    </row>
    <row r="162" spans="1:5" x14ac:dyDescent="0.4">
      <c r="A162" s="10">
        <v>56</v>
      </c>
      <c r="B162" s="23">
        <f t="shared" si="10"/>
        <v>1750.6029894702742</v>
      </c>
      <c r="C162" s="23">
        <f t="shared" si="11"/>
        <v>495.68450662935578</v>
      </c>
      <c r="D162" s="23">
        <f t="shared" si="12"/>
        <v>1254.9184828409184</v>
      </c>
      <c r="E162" s="23">
        <f t="shared" si="13"/>
        <v>184626.77150316752</v>
      </c>
    </row>
    <row r="163" spans="1:5" x14ac:dyDescent="0.4">
      <c r="A163" s="10">
        <v>57</v>
      </c>
      <c r="B163" s="23">
        <f t="shared" si="10"/>
        <v>1750.6029894702742</v>
      </c>
      <c r="C163" s="23">
        <f t="shared" si="11"/>
        <v>492.33805734178003</v>
      </c>
      <c r="D163" s="23">
        <f t="shared" si="12"/>
        <v>1258.2649321284941</v>
      </c>
      <c r="E163" s="23">
        <f t="shared" si="13"/>
        <v>183368.50657103903</v>
      </c>
    </row>
    <row r="164" spans="1:5" x14ac:dyDescent="0.4">
      <c r="A164" s="10">
        <v>58</v>
      </c>
      <c r="B164" s="23">
        <f t="shared" si="10"/>
        <v>1750.6029894702742</v>
      </c>
      <c r="C164" s="23">
        <f t="shared" si="11"/>
        <v>488.98268418943741</v>
      </c>
      <c r="D164" s="23">
        <f t="shared" si="12"/>
        <v>1261.6203052808369</v>
      </c>
      <c r="E164" s="23">
        <f t="shared" si="13"/>
        <v>182106.88626575819</v>
      </c>
    </row>
    <row r="165" spans="1:5" x14ac:dyDescent="0.4">
      <c r="A165" s="10">
        <v>59</v>
      </c>
      <c r="B165" s="23">
        <f t="shared" si="10"/>
        <v>1750.6029894702742</v>
      </c>
      <c r="C165" s="23">
        <f t="shared" si="11"/>
        <v>485.61836337535516</v>
      </c>
      <c r="D165" s="23">
        <f t="shared" si="12"/>
        <v>1264.9846260949191</v>
      </c>
      <c r="E165" s="23">
        <f t="shared" si="13"/>
        <v>180841.90163966327</v>
      </c>
    </row>
    <row r="166" spans="1:5" x14ac:dyDescent="0.4">
      <c r="A166" s="10">
        <v>60</v>
      </c>
      <c r="B166" s="23">
        <f t="shared" si="10"/>
        <v>1750.6029894702742</v>
      </c>
      <c r="C166" s="23">
        <f t="shared" si="11"/>
        <v>482.24507103910202</v>
      </c>
      <c r="D166" s="23">
        <f t="shared" si="12"/>
        <v>1268.3579184311723</v>
      </c>
      <c r="E166" s="23">
        <f t="shared" si="13"/>
        <v>179573.5437212321</v>
      </c>
    </row>
    <row r="167" spans="1:5" x14ac:dyDescent="0.4">
      <c r="A167" s="10">
        <v>61</v>
      </c>
      <c r="B167" s="23">
        <f t="shared" si="10"/>
        <v>1750.6029894702742</v>
      </c>
      <c r="C167" s="23">
        <f t="shared" si="11"/>
        <v>478.86278325661891</v>
      </c>
      <c r="D167" s="23">
        <f t="shared" si="12"/>
        <v>1271.7402062136553</v>
      </c>
      <c r="E167" s="23">
        <f t="shared" si="13"/>
        <v>178301.80351501843</v>
      </c>
    </row>
    <row r="168" spans="1:5" x14ac:dyDescent="0.4">
      <c r="A168" s="10">
        <v>62</v>
      </c>
      <c r="B168" s="23">
        <f t="shared" si="10"/>
        <v>1750.6029894702742</v>
      </c>
      <c r="C168" s="23">
        <f t="shared" si="11"/>
        <v>475.47147604004914</v>
      </c>
      <c r="D168" s="23">
        <f t="shared" si="12"/>
        <v>1275.1315134302251</v>
      </c>
      <c r="E168" s="23">
        <f t="shared" si="13"/>
        <v>177026.67200158822</v>
      </c>
    </row>
    <row r="169" spans="1:5" x14ac:dyDescent="0.4">
      <c r="A169" s="10">
        <v>63</v>
      </c>
      <c r="B169" s="23">
        <f t="shared" si="10"/>
        <v>1750.6029894702742</v>
      </c>
      <c r="C169" s="23">
        <f t="shared" si="11"/>
        <v>472.07112533756856</v>
      </c>
      <c r="D169" s="23">
        <f t="shared" si="12"/>
        <v>1278.5318641327058</v>
      </c>
      <c r="E169" s="23">
        <f t="shared" si="13"/>
        <v>175748.14013745551</v>
      </c>
    </row>
    <row r="170" spans="1:5" x14ac:dyDescent="0.4">
      <c r="A170" s="10">
        <v>64</v>
      </c>
      <c r="B170" s="23">
        <f t="shared" si="10"/>
        <v>1750.6029894702742</v>
      </c>
      <c r="C170" s="23">
        <f t="shared" si="11"/>
        <v>468.66170703321467</v>
      </c>
      <c r="D170" s="23">
        <f t="shared" si="12"/>
        <v>1281.9412824370595</v>
      </c>
      <c r="E170" s="23">
        <f t="shared" si="13"/>
        <v>174466.19885501845</v>
      </c>
    </row>
    <row r="171" spans="1:5" x14ac:dyDescent="0.4">
      <c r="A171" s="10">
        <v>65</v>
      </c>
      <c r="B171" s="23">
        <f t="shared" si="10"/>
        <v>1750.6029894702742</v>
      </c>
      <c r="C171" s="23">
        <f t="shared" si="11"/>
        <v>465.24319694671584</v>
      </c>
      <c r="D171" s="23">
        <f t="shared" si="12"/>
        <v>1285.3597925235583</v>
      </c>
      <c r="E171" s="23">
        <f t="shared" si="13"/>
        <v>173180.8390624949</v>
      </c>
    </row>
    <row r="172" spans="1:5" x14ac:dyDescent="0.4">
      <c r="A172" s="10">
        <v>66</v>
      </c>
      <c r="B172" s="23">
        <f t="shared" ref="B172:B235" si="14">$B$102</f>
        <v>1750.6029894702742</v>
      </c>
      <c r="C172" s="23">
        <f t="shared" ref="C172:C235" si="15">E171*$B$101</f>
        <v>461.81557083331973</v>
      </c>
      <c r="D172" s="23">
        <f t="shared" ref="D172:D235" si="16">B172-C172</f>
        <v>1288.7874186369545</v>
      </c>
      <c r="E172" s="23">
        <f t="shared" ref="E172:E235" si="17">E171-D172</f>
        <v>171892.05164385794</v>
      </c>
    </row>
    <row r="173" spans="1:5" x14ac:dyDescent="0.4">
      <c r="A173" s="10">
        <v>67</v>
      </c>
      <c r="B173" s="23">
        <f t="shared" si="14"/>
        <v>1750.6029894702742</v>
      </c>
      <c r="C173" s="23">
        <f t="shared" si="15"/>
        <v>458.37880438362117</v>
      </c>
      <c r="D173" s="23">
        <f t="shared" si="16"/>
        <v>1292.2241850866531</v>
      </c>
      <c r="E173" s="23">
        <f t="shared" si="17"/>
        <v>170599.82745877129</v>
      </c>
    </row>
    <row r="174" spans="1:5" x14ac:dyDescent="0.4">
      <c r="A174" s="10">
        <v>68</v>
      </c>
      <c r="B174" s="23">
        <f t="shared" si="14"/>
        <v>1750.6029894702742</v>
      </c>
      <c r="C174" s="23">
        <f t="shared" si="15"/>
        <v>454.93287322339012</v>
      </c>
      <c r="D174" s="23">
        <f t="shared" si="16"/>
        <v>1295.6701162468842</v>
      </c>
      <c r="E174" s="23">
        <f t="shared" si="17"/>
        <v>169304.15734252441</v>
      </c>
    </row>
    <row r="175" spans="1:5" x14ac:dyDescent="0.4">
      <c r="A175" s="10">
        <v>69</v>
      </c>
      <c r="B175" s="23">
        <f t="shared" si="14"/>
        <v>1750.6029894702742</v>
      </c>
      <c r="C175" s="23">
        <f t="shared" si="15"/>
        <v>451.47775291339843</v>
      </c>
      <c r="D175" s="23">
        <f t="shared" si="16"/>
        <v>1299.1252365568757</v>
      </c>
      <c r="E175" s="23">
        <f t="shared" si="17"/>
        <v>168005.03210596755</v>
      </c>
    </row>
    <row r="176" spans="1:5" x14ac:dyDescent="0.4">
      <c r="A176" s="10">
        <v>70</v>
      </c>
      <c r="B176" s="23">
        <f t="shared" si="14"/>
        <v>1750.6029894702742</v>
      </c>
      <c r="C176" s="23">
        <f t="shared" si="15"/>
        <v>448.01341894924678</v>
      </c>
      <c r="D176" s="23">
        <f t="shared" si="16"/>
        <v>1302.5895705210273</v>
      </c>
      <c r="E176" s="23">
        <f t="shared" si="17"/>
        <v>166702.44253544652</v>
      </c>
    </row>
    <row r="177" spans="1:5" x14ac:dyDescent="0.4">
      <c r="A177" s="10">
        <v>71</v>
      </c>
      <c r="B177" s="23">
        <f t="shared" si="14"/>
        <v>1750.6029894702742</v>
      </c>
      <c r="C177" s="23">
        <f t="shared" si="15"/>
        <v>444.53984676119069</v>
      </c>
      <c r="D177" s="23">
        <f t="shared" si="16"/>
        <v>1306.0631427090834</v>
      </c>
      <c r="E177" s="23">
        <f t="shared" si="17"/>
        <v>165396.37939273744</v>
      </c>
    </row>
    <row r="178" spans="1:5" x14ac:dyDescent="0.4">
      <c r="A178" s="10">
        <v>72</v>
      </c>
      <c r="B178" s="23">
        <f t="shared" si="14"/>
        <v>1750.6029894702742</v>
      </c>
      <c r="C178" s="23">
        <f t="shared" si="15"/>
        <v>441.05701171396646</v>
      </c>
      <c r="D178" s="23">
        <f t="shared" si="16"/>
        <v>1309.5459777563078</v>
      </c>
      <c r="E178" s="23">
        <f t="shared" si="17"/>
        <v>164086.83341498114</v>
      </c>
    </row>
    <row r="179" spans="1:5" x14ac:dyDescent="0.4">
      <c r="A179" s="10">
        <v>73</v>
      </c>
      <c r="B179" s="23">
        <f t="shared" si="14"/>
        <v>1750.6029894702742</v>
      </c>
      <c r="C179" s="23">
        <f t="shared" si="15"/>
        <v>437.56488910661636</v>
      </c>
      <c r="D179" s="23">
        <f t="shared" si="16"/>
        <v>1313.0381003636578</v>
      </c>
      <c r="E179" s="23">
        <f t="shared" si="17"/>
        <v>162773.79531461748</v>
      </c>
    </row>
    <row r="180" spans="1:5" x14ac:dyDescent="0.4">
      <c r="A180" s="10">
        <v>74</v>
      </c>
      <c r="B180" s="23">
        <f t="shared" si="14"/>
        <v>1750.6029894702742</v>
      </c>
      <c r="C180" s="23">
        <f t="shared" si="15"/>
        <v>434.0634541723133</v>
      </c>
      <c r="D180" s="23">
        <f t="shared" si="16"/>
        <v>1316.5395352979608</v>
      </c>
      <c r="E180" s="23">
        <f t="shared" si="17"/>
        <v>161457.25577931953</v>
      </c>
    </row>
    <row r="181" spans="1:5" x14ac:dyDescent="0.4">
      <c r="A181" s="10">
        <v>75</v>
      </c>
      <c r="B181" s="23">
        <f t="shared" si="14"/>
        <v>1750.6029894702742</v>
      </c>
      <c r="C181" s="23">
        <f t="shared" si="15"/>
        <v>430.5526820781854</v>
      </c>
      <c r="D181" s="23">
        <f t="shared" si="16"/>
        <v>1320.0503073920888</v>
      </c>
      <c r="E181" s="23">
        <f t="shared" si="17"/>
        <v>160137.20547192745</v>
      </c>
    </row>
    <row r="182" spans="1:5" x14ac:dyDescent="0.4">
      <c r="A182" s="10">
        <v>76</v>
      </c>
      <c r="B182" s="23">
        <f t="shared" si="14"/>
        <v>1750.6029894702742</v>
      </c>
      <c r="C182" s="23">
        <f t="shared" si="15"/>
        <v>427.03254792513985</v>
      </c>
      <c r="D182" s="23">
        <f t="shared" si="16"/>
        <v>1323.5704415451344</v>
      </c>
      <c r="E182" s="23">
        <f t="shared" si="17"/>
        <v>158813.63503038231</v>
      </c>
    </row>
    <row r="183" spans="1:5" x14ac:dyDescent="0.4">
      <c r="A183" s="10">
        <v>77</v>
      </c>
      <c r="B183" s="23">
        <f t="shared" si="14"/>
        <v>1750.6029894702742</v>
      </c>
      <c r="C183" s="23">
        <f t="shared" si="15"/>
        <v>423.50302674768614</v>
      </c>
      <c r="D183" s="23">
        <f t="shared" si="16"/>
        <v>1327.0999627225881</v>
      </c>
      <c r="E183" s="23">
        <f t="shared" si="17"/>
        <v>157486.53506765972</v>
      </c>
    </row>
    <row r="184" spans="1:5" x14ac:dyDescent="0.4">
      <c r="A184" s="10">
        <v>78</v>
      </c>
      <c r="B184" s="23">
        <f t="shared" si="14"/>
        <v>1750.6029894702742</v>
      </c>
      <c r="C184" s="23">
        <f t="shared" si="15"/>
        <v>419.96409351375922</v>
      </c>
      <c r="D184" s="23">
        <f t="shared" si="16"/>
        <v>1330.6388959565149</v>
      </c>
      <c r="E184" s="23">
        <f t="shared" si="17"/>
        <v>156155.89617170321</v>
      </c>
    </row>
    <row r="185" spans="1:5" x14ac:dyDescent="0.4">
      <c r="A185" s="10">
        <v>79</v>
      </c>
      <c r="B185" s="23">
        <f t="shared" si="14"/>
        <v>1750.6029894702742</v>
      </c>
      <c r="C185" s="23">
        <f t="shared" si="15"/>
        <v>416.4157231245419</v>
      </c>
      <c r="D185" s="23">
        <f t="shared" si="16"/>
        <v>1334.1872663457323</v>
      </c>
      <c r="E185" s="23">
        <f t="shared" si="17"/>
        <v>154821.70890535749</v>
      </c>
    </row>
    <row r="186" spans="1:5" x14ac:dyDescent="0.4">
      <c r="A186" s="10">
        <v>80</v>
      </c>
      <c r="B186" s="23">
        <f t="shared" si="14"/>
        <v>1750.6029894702742</v>
      </c>
      <c r="C186" s="23">
        <f t="shared" si="15"/>
        <v>412.8578904142866</v>
      </c>
      <c r="D186" s="23">
        <f t="shared" si="16"/>
        <v>1337.7450990559876</v>
      </c>
      <c r="E186" s="23">
        <f t="shared" si="17"/>
        <v>153483.9638063015</v>
      </c>
    </row>
    <row r="187" spans="1:5" x14ac:dyDescent="0.4">
      <c r="A187" s="10">
        <v>81</v>
      </c>
      <c r="B187" s="23">
        <f t="shared" si="14"/>
        <v>1750.6029894702742</v>
      </c>
      <c r="C187" s="23">
        <f t="shared" si="15"/>
        <v>409.29057015013734</v>
      </c>
      <c r="D187" s="23">
        <f t="shared" si="16"/>
        <v>1341.312419320137</v>
      </c>
      <c r="E187" s="23">
        <f t="shared" si="17"/>
        <v>152142.65138698136</v>
      </c>
    </row>
    <row r="188" spans="1:5" x14ac:dyDescent="0.4">
      <c r="A188" s="10">
        <v>82</v>
      </c>
      <c r="B188" s="23">
        <f t="shared" si="14"/>
        <v>1750.6029894702742</v>
      </c>
      <c r="C188" s="23">
        <f t="shared" si="15"/>
        <v>405.7137370319503</v>
      </c>
      <c r="D188" s="23">
        <f t="shared" si="16"/>
        <v>1344.8892524383239</v>
      </c>
      <c r="E188" s="23">
        <f t="shared" si="17"/>
        <v>150797.76213454304</v>
      </c>
    </row>
    <row r="189" spans="1:5" x14ac:dyDescent="0.4">
      <c r="A189" s="10">
        <v>83</v>
      </c>
      <c r="B189" s="23">
        <f t="shared" si="14"/>
        <v>1750.6029894702742</v>
      </c>
      <c r="C189" s="23">
        <f t="shared" si="15"/>
        <v>402.12736569211478</v>
      </c>
      <c r="D189" s="23">
        <f t="shared" si="16"/>
        <v>1348.4756237781594</v>
      </c>
      <c r="E189" s="23">
        <f t="shared" si="17"/>
        <v>149449.28651076488</v>
      </c>
    </row>
    <row r="190" spans="1:5" x14ac:dyDescent="0.4">
      <c r="A190" s="10">
        <v>84</v>
      </c>
      <c r="B190" s="23">
        <f t="shared" si="14"/>
        <v>1750.6029894702742</v>
      </c>
      <c r="C190" s="23">
        <f t="shared" si="15"/>
        <v>398.53143069537299</v>
      </c>
      <c r="D190" s="23">
        <f t="shared" si="16"/>
        <v>1352.0715587749012</v>
      </c>
      <c r="E190" s="23">
        <f t="shared" si="17"/>
        <v>148097.21495198997</v>
      </c>
    </row>
    <row r="191" spans="1:5" x14ac:dyDescent="0.4">
      <c r="A191" s="10">
        <v>85</v>
      </c>
      <c r="B191" s="23">
        <f t="shared" si="14"/>
        <v>1750.6029894702742</v>
      </c>
      <c r="C191" s="23">
        <f t="shared" si="15"/>
        <v>394.92590653863988</v>
      </c>
      <c r="D191" s="23">
        <f t="shared" si="16"/>
        <v>1355.6770829316342</v>
      </c>
      <c r="E191" s="23">
        <f t="shared" si="17"/>
        <v>146741.53786905835</v>
      </c>
    </row>
    <row r="192" spans="1:5" x14ac:dyDescent="0.4">
      <c r="A192" s="10">
        <v>86</v>
      </c>
      <c r="B192" s="23">
        <f t="shared" si="14"/>
        <v>1750.6029894702742</v>
      </c>
      <c r="C192" s="23">
        <f t="shared" si="15"/>
        <v>391.31076765082224</v>
      </c>
      <c r="D192" s="23">
        <f t="shared" si="16"/>
        <v>1359.2922218194519</v>
      </c>
      <c r="E192" s="23">
        <f t="shared" si="17"/>
        <v>145382.24564723889</v>
      </c>
    </row>
    <row r="193" spans="1:5" x14ac:dyDescent="0.4">
      <c r="A193" s="10">
        <v>87</v>
      </c>
      <c r="B193" s="23">
        <f t="shared" si="14"/>
        <v>1750.6029894702742</v>
      </c>
      <c r="C193" s="23">
        <f t="shared" si="15"/>
        <v>387.685988392637</v>
      </c>
      <c r="D193" s="23">
        <f t="shared" si="16"/>
        <v>1362.9170010776372</v>
      </c>
      <c r="E193" s="23">
        <f t="shared" si="17"/>
        <v>144019.32864616124</v>
      </c>
    </row>
    <row r="194" spans="1:5" x14ac:dyDescent="0.4">
      <c r="A194" s="10">
        <v>88</v>
      </c>
      <c r="B194" s="23">
        <f t="shared" si="14"/>
        <v>1750.6029894702742</v>
      </c>
      <c r="C194" s="23">
        <f t="shared" si="15"/>
        <v>384.05154305642998</v>
      </c>
      <c r="D194" s="23">
        <f t="shared" si="16"/>
        <v>1366.5514464138441</v>
      </c>
      <c r="E194" s="23">
        <f t="shared" si="17"/>
        <v>142652.77719974739</v>
      </c>
    </row>
    <row r="195" spans="1:5" x14ac:dyDescent="0.4">
      <c r="A195" s="10">
        <v>89</v>
      </c>
      <c r="B195" s="23">
        <f t="shared" si="14"/>
        <v>1750.6029894702742</v>
      </c>
      <c r="C195" s="23">
        <f t="shared" si="15"/>
        <v>380.40740586599304</v>
      </c>
      <c r="D195" s="23">
        <f t="shared" si="16"/>
        <v>1370.1955836042812</v>
      </c>
      <c r="E195" s="23">
        <f t="shared" si="17"/>
        <v>141282.58161614311</v>
      </c>
    </row>
    <row r="196" spans="1:5" x14ac:dyDescent="0.4">
      <c r="A196" s="10">
        <v>90</v>
      </c>
      <c r="B196" s="23">
        <f t="shared" si="14"/>
        <v>1750.6029894702742</v>
      </c>
      <c r="C196" s="23">
        <f t="shared" si="15"/>
        <v>376.75355097638163</v>
      </c>
      <c r="D196" s="23">
        <f t="shared" si="16"/>
        <v>1373.8494384938926</v>
      </c>
      <c r="E196" s="23">
        <f t="shared" si="17"/>
        <v>139908.73217764922</v>
      </c>
    </row>
    <row r="197" spans="1:5" x14ac:dyDescent="0.4">
      <c r="A197" s="10">
        <v>91</v>
      </c>
      <c r="B197" s="23">
        <f t="shared" si="14"/>
        <v>1750.6029894702742</v>
      </c>
      <c r="C197" s="23">
        <f t="shared" si="15"/>
        <v>373.08995247373122</v>
      </c>
      <c r="D197" s="23">
        <f t="shared" si="16"/>
        <v>1377.513036996543</v>
      </c>
      <c r="E197" s="23">
        <f t="shared" si="17"/>
        <v>138531.21914065268</v>
      </c>
    </row>
    <row r="198" spans="1:5" x14ac:dyDescent="0.4">
      <c r="A198" s="10">
        <v>92</v>
      </c>
      <c r="B198" s="23">
        <f t="shared" si="14"/>
        <v>1750.6029894702742</v>
      </c>
      <c r="C198" s="23">
        <f t="shared" si="15"/>
        <v>369.4165843750738</v>
      </c>
      <c r="D198" s="23">
        <f t="shared" si="16"/>
        <v>1381.1864050952004</v>
      </c>
      <c r="E198" s="23">
        <f t="shared" si="17"/>
        <v>137150.03273555747</v>
      </c>
    </row>
    <row r="199" spans="1:5" x14ac:dyDescent="0.4">
      <c r="A199" s="10">
        <v>93</v>
      </c>
      <c r="B199" s="23">
        <f t="shared" si="14"/>
        <v>1750.6029894702742</v>
      </c>
      <c r="C199" s="23">
        <f t="shared" si="15"/>
        <v>365.73342062815323</v>
      </c>
      <c r="D199" s="23">
        <f t="shared" si="16"/>
        <v>1384.869568842121</v>
      </c>
      <c r="E199" s="23">
        <f t="shared" si="17"/>
        <v>135765.16316671536</v>
      </c>
    </row>
    <row r="200" spans="1:5" x14ac:dyDescent="0.4">
      <c r="A200" s="10">
        <v>94</v>
      </c>
      <c r="B200" s="23">
        <f t="shared" si="14"/>
        <v>1750.6029894702742</v>
      </c>
      <c r="C200" s="23">
        <f t="shared" si="15"/>
        <v>362.04043511124092</v>
      </c>
      <c r="D200" s="23">
        <f t="shared" si="16"/>
        <v>1388.5625543590334</v>
      </c>
      <c r="E200" s="23">
        <f t="shared" si="17"/>
        <v>134376.60061235633</v>
      </c>
    </row>
    <row r="201" spans="1:5" x14ac:dyDescent="0.4">
      <c r="A201" s="10">
        <v>95</v>
      </c>
      <c r="B201" s="23">
        <f t="shared" si="14"/>
        <v>1750.6029894702742</v>
      </c>
      <c r="C201" s="23">
        <f t="shared" si="15"/>
        <v>358.33760163295017</v>
      </c>
      <c r="D201" s="23">
        <f t="shared" si="16"/>
        <v>1392.2653878373239</v>
      </c>
      <c r="E201" s="23">
        <f t="shared" si="17"/>
        <v>132984.33522451902</v>
      </c>
    </row>
    <row r="202" spans="1:5" x14ac:dyDescent="0.4">
      <c r="A202" s="10">
        <v>96</v>
      </c>
      <c r="B202" s="23">
        <f t="shared" si="14"/>
        <v>1750.6029894702742</v>
      </c>
      <c r="C202" s="23">
        <f t="shared" si="15"/>
        <v>354.62489393205072</v>
      </c>
      <c r="D202" s="23">
        <f t="shared" si="16"/>
        <v>1395.9780955382234</v>
      </c>
      <c r="E202" s="23">
        <f t="shared" si="17"/>
        <v>131588.3571289808</v>
      </c>
    </row>
    <row r="203" spans="1:5" x14ac:dyDescent="0.4">
      <c r="A203" s="10">
        <v>97</v>
      </c>
      <c r="B203" s="23">
        <f t="shared" si="14"/>
        <v>1750.6029894702742</v>
      </c>
      <c r="C203" s="23">
        <f t="shared" si="15"/>
        <v>350.90228567728212</v>
      </c>
      <c r="D203" s="23">
        <f t="shared" si="16"/>
        <v>1399.700703792992</v>
      </c>
      <c r="E203" s="23">
        <f t="shared" si="17"/>
        <v>130188.65642518782</v>
      </c>
    </row>
    <row r="204" spans="1:5" x14ac:dyDescent="0.4">
      <c r="A204" s="10">
        <v>98</v>
      </c>
      <c r="B204" s="23">
        <f t="shared" si="14"/>
        <v>1750.6029894702742</v>
      </c>
      <c r="C204" s="23">
        <f t="shared" si="15"/>
        <v>347.16975046716749</v>
      </c>
      <c r="D204" s="23">
        <f t="shared" si="16"/>
        <v>1403.4332390031068</v>
      </c>
      <c r="E204" s="23">
        <f t="shared" si="17"/>
        <v>128785.22318618471</v>
      </c>
    </row>
    <row r="205" spans="1:5" x14ac:dyDescent="0.4">
      <c r="A205" s="10">
        <v>99</v>
      </c>
      <c r="B205" s="23">
        <f t="shared" si="14"/>
        <v>1750.6029894702742</v>
      </c>
      <c r="C205" s="23">
        <f t="shared" si="15"/>
        <v>343.42726182982591</v>
      </c>
      <c r="D205" s="23">
        <f t="shared" si="16"/>
        <v>1407.1757276404483</v>
      </c>
      <c r="E205" s="23">
        <f t="shared" si="17"/>
        <v>127378.04745854426</v>
      </c>
    </row>
    <row r="206" spans="1:5" x14ac:dyDescent="0.4">
      <c r="A206" s="10">
        <v>100</v>
      </c>
      <c r="B206" s="23">
        <f t="shared" si="14"/>
        <v>1750.6029894702742</v>
      </c>
      <c r="C206" s="23">
        <f t="shared" si="15"/>
        <v>339.67479322278467</v>
      </c>
      <c r="D206" s="23">
        <f t="shared" si="16"/>
        <v>1410.9281962474895</v>
      </c>
      <c r="E206" s="23">
        <f t="shared" si="17"/>
        <v>125967.11926229676</v>
      </c>
    </row>
    <row r="207" spans="1:5" x14ac:dyDescent="0.4">
      <c r="A207" s="10">
        <v>101</v>
      </c>
      <c r="B207" s="23">
        <f t="shared" si="14"/>
        <v>1750.6029894702742</v>
      </c>
      <c r="C207" s="23">
        <f t="shared" si="15"/>
        <v>335.91231803279135</v>
      </c>
      <c r="D207" s="23">
        <f t="shared" si="16"/>
        <v>1414.6906714374829</v>
      </c>
      <c r="E207" s="23">
        <f t="shared" si="17"/>
        <v>124552.42859085929</v>
      </c>
    </row>
    <row r="208" spans="1:5" x14ac:dyDescent="0.4">
      <c r="A208" s="10">
        <v>102</v>
      </c>
      <c r="B208" s="23">
        <f t="shared" si="14"/>
        <v>1750.6029894702742</v>
      </c>
      <c r="C208" s="23">
        <f t="shared" si="15"/>
        <v>332.13980957562478</v>
      </c>
      <c r="D208" s="23">
        <f t="shared" si="16"/>
        <v>1418.4631798946493</v>
      </c>
      <c r="E208" s="23">
        <f t="shared" si="17"/>
        <v>123133.96541096464</v>
      </c>
    </row>
    <row r="209" spans="1:5" x14ac:dyDescent="0.4">
      <c r="A209" s="10">
        <v>103</v>
      </c>
      <c r="B209" s="23">
        <f t="shared" si="14"/>
        <v>1750.6029894702742</v>
      </c>
      <c r="C209" s="23">
        <f t="shared" si="15"/>
        <v>328.35724109590569</v>
      </c>
      <c r="D209" s="23">
        <f t="shared" si="16"/>
        <v>1422.2457483743685</v>
      </c>
      <c r="E209" s="23">
        <f t="shared" si="17"/>
        <v>121711.71966259027</v>
      </c>
    </row>
    <row r="210" spans="1:5" x14ac:dyDescent="0.4">
      <c r="A210" s="10">
        <v>104</v>
      </c>
      <c r="B210" s="23">
        <f t="shared" si="14"/>
        <v>1750.6029894702742</v>
      </c>
      <c r="C210" s="23">
        <f t="shared" si="15"/>
        <v>324.56458576690738</v>
      </c>
      <c r="D210" s="23">
        <f t="shared" si="16"/>
        <v>1426.0384037033668</v>
      </c>
      <c r="E210" s="23">
        <f t="shared" si="17"/>
        <v>120285.68125888691</v>
      </c>
    </row>
    <row r="211" spans="1:5" x14ac:dyDescent="0.4">
      <c r="A211" s="10">
        <v>105</v>
      </c>
      <c r="B211" s="23">
        <f t="shared" si="14"/>
        <v>1750.6029894702742</v>
      </c>
      <c r="C211" s="23">
        <f t="shared" si="15"/>
        <v>320.76181669036509</v>
      </c>
      <c r="D211" s="23">
        <f t="shared" si="16"/>
        <v>1429.8411727799091</v>
      </c>
      <c r="E211" s="23">
        <f t="shared" si="17"/>
        <v>118855.840086107</v>
      </c>
    </row>
    <row r="212" spans="1:5" x14ac:dyDescent="0.4">
      <c r="A212" s="10">
        <v>106</v>
      </c>
      <c r="B212" s="23">
        <f t="shared" si="14"/>
        <v>1750.6029894702742</v>
      </c>
      <c r="C212" s="23">
        <f t="shared" si="15"/>
        <v>316.94890689628534</v>
      </c>
      <c r="D212" s="23">
        <f t="shared" si="16"/>
        <v>1433.6540825739889</v>
      </c>
      <c r="E212" s="23">
        <f t="shared" si="17"/>
        <v>117422.186003533</v>
      </c>
    </row>
    <row r="213" spans="1:5" x14ac:dyDescent="0.4">
      <c r="A213" s="10">
        <v>107</v>
      </c>
      <c r="B213" s="23">
        <f t="shared" si="14"/>
        <v>1750.6029894702742</v>
      </c>
      <c r="C213" s="23">
        <f t="shared" si="15"/>
        <v>313.12582934275468</v>
      </c>
      <c r="D213" s="23">
        <f t="shared" si="16"/>
        <v>1437.4771601275195</v>
      </c>
      <c r="E213" s="23">
        <f t="shared" si="17"/>
        <v>115984.70884340549</v>
      </c>
    </row>
    <row r="214" spans="1:5" x14ac:dyDescent="0.4">
      <c r="A214" s="10">
        <v>108</v>
      </c>
      <c r="B214" s="23">
        <f t="shared" si="14"/>
        <v>1750.6029894702742</v>
      </c>
      <c r="C214" s="23">
        <f t="shared" si="15"/>
        <v>309.29255691574798</v>
      </c>
      <c r="D214" s="23">
        <f t="shared" si="16"/>
        <v>1441.3104325545262</v>
      </c>
      <c r="E214" s="23">
        <f t="shared" si="17"/>
        <v>114543.39841085096</v>
      </c>
    </row>
    <row r="215" spans="1:5" x14ac:dyDescent="0.4">
      <c r="A215" s="10">
        <v>109</v>
      </c>
      <c r="B215" s="23">
        <f t="shared" si="14"/>
        <v>1750.6029894702742</v>
      </c>
      <c r="C215" s="23">
        <f t="shared" si="15"/>
        <v>305.44906242893586</v>
      </c>
      <c r="D215" s="23">
        <f t="shared" si="16"/>
        <v>1445.1539270413384</v>
      </c>
      <c r="E215" s="23">
        <f t="shared" si="17"/>
        <v>113098.24448380963</v>
      </c>
    </row>
    <row r="216" spans="1:5" x14ac:dyDescent="0.4">
      <c r="A216" s="10">
        <v>110</v>
      </c>
      <c r="B216" s="23">
        <f t="shared" si="14"/>
        <v>1750.6029894702742</v>
      </c>
      <c r="C216" s="23">
        <f t="shared" si="15"/>
        <v>301.59531862349235</v>
      </c>
      <c r="D216" s="23">
        <f t="shared" si="16"/>
        <v>1449.0076708467818</v>
      </c>
      <c r="E216" s="23">
        <f t="shared" si="17"/>
        <v>111649.23681296284</v>
      </c>
    </row>
    <row r="217" spans="1:5" x14ac:dyDescent="0.4">
      <c r="A217" s="10">
        <v>111</v>
      </c>
      <c r="B217" s="23">
        <f t="shared" si="14"/>
        <v>1750.6029894702742</v>
      </c>
      <c r="C217" s="23">
        <f t="shared" si="15"/>
        <v>297.73129816790089</v>
      </c>
      <c r="D217" s="23">
        <f t="shared" si="16"/>
        <v>1452.8716913023734</v>
      </c>
      <c r="E217" s="23">
        <f t="shared" si="17"/>
        <v>110196.36512166048</v>
      </c>
    </row>
    <row r="218" spans="1:5" x14ac:dyDescent="0.4">
      <c r="A218" s="10">
        <v>112</v>
      </c>
      <c r="B218" s="23">
        <f t="shared" si="14"/>
        <v>1750.6029894702742</v>
      </c>
      <c r="C218" s="23">
        <f t="shared" si="15"/>
        <v>293.85697365776127</v>
      </c>
      <c r="D218" s="23">
        <f t="shared" si="16"/>
        <v>1456.746015812513</v>
      </c>
      <c r="E218" s="23">
        <f t="shared" si="17"/>
        <v>108739.61910584796</v>
      </c>
    </row>
    <row r="219" spans="1:5" x14ac:dyDescent="0.4">
      <c r="A219" s="10">
        <v>113</v>
      </c>
      <c r="B219" s="23">
        <f t="shared" si="14"/>
        <v>1750.6029894702742</v>
      </c>
      <c r="C219" s="23">
        <f t="shared" si="15"/>
        <v>289.97231761559453</v>
      </c>
      <c r="D219" s="23">
        <f t="shared" si="16"/>
        <v>1460.6306718546798</v>
      </c>
      <c r="E219" s="23">
        <f t="shared" si="17"/>
        <v>107278.98843399328</v>
      </c>
    </row>
    <row r="220" spans="1:5" x14ac:dyDescent="0.4">
      <c r="A220" s="10">
        <v>114</v>
      </c>
      <c r="B220" s="23">
        <f t="shared" si="14"/>
        <v>1750.6029894702742</v>
      </c>
      <c r="C220" s="23">
        <f t="shared" si="15"/>
        <v>286.07730249064872</v>
      </c>
      <c r="D220" s="23">
        <f t="shared" si="16"/>
        <v>1464.5256869796256</v>
      </c>
      <c r="E220" s="23">
        <f t="shared" si="17"/>
        <v>105814.46274701365</v>
      </c>
    </row>
    <row r="221" spans="1:5" x14ac:dyDescent="0.4">
      <c r="A221" s="10">
        <v>115</v>
      </c>
      <c r="B221" s="23">
        <f t="shared" si="14"/>
        <v>1750.6029894702742</v>
      </c>
      <c r="C221" s="23">
        <f t="shared" si="15"/>
        <v>282.17190065870307</v>
      </c>
      <c r="D221" s="23">
        <f t="shared" si="16"/>
        <v>1468.431088811571</v>
      </c>
      <c r="E221" s="23">
        <f t="shared" si="17"/>
        <v>104346.03165820208</v>
      </c>
    </row>
    <row r="222" spans="1:5" x14ac:dyDescent="0.4">
      <c r="A222" s="10">
        <v>116</v>
      </c>
      <c r="B222" s="23">
        <f t="shared" si="14"/>
        <v>1750.6029894702742</v>
      </c>
      <c r="C222" s="23">
        <f t="shared" si="15"/>
        <v>278.25608442187217</v>
      </c>
      <c r="D222" s="23">
        <f t="shared" si="16"/>
        <v>1472.346905048402</v>
      </c>
      <c r="E222" s="23">
        <f t="shared" si="17"/>
        <v>102873.68475315368</v>
      </c>
    </row>
    <row r="223" spans="1:5" x14ac:dyDescent="0.4">
      <c r="A223" s="10">
        <v>117</v>
      </c>
      <c r="B223" s="23">
        <f t="shared" si="14"/>
        <v>1750.6029894702742</v>
      </c>
      <c r="C223" s="23">
        <f t="shared" si="15"/>
        <v>274.32982600840978</v>
      </c>
      <c r="D223" s="23">
        <f t="shared" si="16"/>
        <v>1476.2731634618644</v>
      </c>
      <c r="E223" s="23">
        <f t="shared" si="17"/>
        <v>101397.41158969181</v>
      </c>
    </row>
    <row r="224" spans="1:5" x14ac:dyDescent="0.4">
      <c r="A224" s="10">
        <v>118</v>
      </c>
      <c r="B224" s="23">
        <f t="shared" si="14"/>
        <v>1750.6029894702742</v>
      </c>
      <c r="C224" s="23">
        <f t="shared" si="15"/>
        <v>270.39309757251146</v>
      </c>
      <c r="D224" s="23">
        <f t="shared" si="16"/>
        <v>1480.2098918977626</v>
      </c>
      <c r="E224" s="23">
        <f t="shared" si="17"/>
        <v>99917.201697794051</v>
      </c>
    </row>
    <row r="225" spans="1:5" x14ac:dyDescent="0.4">
      <c r="A225" s="10">
        <v>119</v>
      </c>
      <c r="B225" s="23">
        <f t="shared" si="14"/>
        <v>1750.6029894702742</v>
      </c>
      <c r="C225" s="23">
        <f t="shared" si="15"/>
        <v>266.44587119411744</v>
      </c>
      <c r="D225" s="23">
        <f t="shared" si="16"/>
        <v>1484.1571182761568</v>
      </c>
      <c r="E225" s="23">
        <f t="shared" si="17"/>
        <v>98433.044579517897</v>
      </c>
    </row>
    <row r="226" spans="1:5" x14ac:dyDescent="0.4">
      <c r="A226" s="10">
        <v>120</v>
      </c>
      <c r="B226" s="23">
        <f t="shared" si="14"/>
        <v>1750.6029894702742</v>
      </c>
      <c r="C226" s="23">
        <f t="shared" si="15"/>
        <v>262.48811887871437</v>
      </c>
      <c r="D226" s="23">
        <f t="shared" si="16"/>
        <v>1488.1148705915598</v>
      </c>
      <c r="E226" s="23">
        <f t="shared" si="17"/>
        <v>96944.929708926342</v>
      </c>
    </row>
    <row r="227" spans="1:5" x14ac:dyDescent="0.4">
      <c r="A227" s="10">
        <v>121</v>
      </c>
      <c r="B227" s="23">
        <f t="shared" si="14"/>
        <v>1750.6029894702742</v>
      </c>
      <c r="C227" s="23">
        <f t="shared" si="15"/>
        <v>258.5198125571369</v>
      </c>
      <c r="D227" s="23">
        <f t="shared" si="16"/>
        <v>1492.0831769131373</v>
      </c>
      <c r="E227" s="23">
        <f t="shared" si="17"/>
        <v>95452.846532013209</v>
      </c>
    </row>
    <row r="228" spans="1:5" x14ac:dyDescent="0.4">
      <c r="A228" s="10">
        <v>122</v>
      </c>
      <c r="B228" s="23">
        <f t="shared" si="14"/>
        <v>1750.6029894702742</v>
      </c>
      <c r="C228" s="23">
        <f t="shared" si="15"/>
        <v>254.54092408536854</v>
      </c>
      <c r="D228" s="23">
        <f t="shared" si="16"/>
        <v>1496.0620653849057</v>
      </c>
      <c r="E228" s="23">
        <f t="shared" si="17"/>
        <v>93956.784466628305</v>
      </c>
    </row>
    <row r="229" spans="1:5" x14ac:dyDescent="0.4">
      <c r="A229" s="10">
        <v>123</v>
      </c>
      <c r="B229" s="23">
        <f t="shared" si="14"/>
        <v>1750.6029894702742</v>
      </c>
      <c r="C229" s="23">
        <f t="shared" si="15"/>
        <v>250.55142524434214</v>
      </c>
      <c r="D229" s="23">
        <f t="shared" si="16"/>
        <v>1500.051564225932</v>
      </c>
      <c r="E229" s="23">
        <f t="shared" si="17"/>
        <v>92456.732902402378</v>
      </c>
    </row>
    <row r="230" spans="1:5" x14ac:dyDescent="0.4">
      <c r="A230" s="10">
        <v>124</v>
      </c>
      <c r="B230" s="23">
        <f t="shared" si="14"/>
        <v>1750.6029894702742</v>
      </c>
      <c r="C230" s="23">
        <f t="shared" si="15"/>
        <v>246.55128773973968</v>
      </c>
      <c r="D230" s="23">
        <f t="shared" si="16"/>
        <v>1504.0517017305347</v>
      </c>
      <c r="E230" s="23">
        <f t="shared" si="17"/>
        <v>90952.681200671839</v>
      </c>
    </row>
    <row r="231" spans="1:5" x14ac:dyDescent="0.4">
      <c r="A231" s="10">
        <v>125</v>
      </c>
      <c r="B231" s="23">
        <f t="shared" si="14"/>
        <v>1750.6029894702742</v>
      </c>
      <c r="C231" s="23">
        <f t="shared" si="15"/>
        <v>242.54048320179157</v>
      </c>
      <c r="D231" s="23">
        <f t="shared" si="16"/>
        <v>1508.0625062684826</v>
      </c>
      <c r="E231" s="23">
        <f t="shared" si="17"/>
        <v>89444.618694403354</v>
      </c>
    </row>
    <row r="232" spans="1:5" x14ac:dyDescent="0.4">
      <c r="A232" s="10">
        <v>126</v>
      </c>
      <c r="B232" s="23">
        <f t="shared" si="14"/>
        <v>1750.6029894702742</v>
      </c>
      <c r="C232" s="23">
        <f t="shared" si="15"/>
        <v>238.5189831850756</v>
      </c>
      <c r="D232" s="23">
        <f t="shared" si="16"/>
        <v>1512.0840062851987</v>
      </c>
      <c r="E232" s="23">
        <f t="shared" si="17"/>
        <v>87932.534688118161</v>
      </c>
    </row>
    <row r="233" spans="1:5" x14ac:dyDescent="0.4">
      <c r="A233" s="10">
        <v>127</v>
      </c>
      <c r="B233" s="23">
        <f t="shared" si="14"/>
        <v>1750.6029894702742</v>
      </c>
      <c r="C233" s="23">
        <f t="shared" si="15"/>
        <v>234.48675916831507</v>
      </c>
      <c r="D233" s="23">
        <f t="shared" si="16"/>
        <v>1516.1162303019591</v>
      </c>
      <c r="E233" s="23">
        <f t="shared" si="17"/>
        <v>86416.418457816209</v>
      </c>
    </row>
    <row r="234" spans="1:5" x14ac:dyDescent="0.4">
      <c r="A234" s="10">
        <v>128</v>
      </c>
      <c r="B234" s="23">
        <f t="shared" si="14"/>
        <v>1750.6029894702742</v>
      </c>
      <c r="C234" s="23">
        <f t="shared" si="15"/>
        <v>230.44378255417655</v>
      </c>
      <c r="D234" s="23">
        <f t="shared" si="16"/>
        <v>1520.1592069160977</v>
      </c>
      <c r="E234" s="23">
        <f t="shared" si="17"/>
        <v>84896.259250900112</v>
      </c>
    </row>
    <row r="235" spans="1:5" x14ac:dyDescent="0.4">
      <c r="A235" s="10">
        <v>129</v>
      </c>
      <c r="B235" s="23">
        <f t="shared" si="14"/>
        <v>1750.6029894702742</v>
      </c>
      <c r="C235" s="23">
        <f t="shared" si="15"/>
        <v>226.39002466906695</v>
      </c>
      <c r="D235" s="23">
        <f t="shared" si="16"/>
        <v>1524.2129648012074</v>
      </c>
      <c r="E235" s="23">
        <f t="shared" si="17"/>
        <v>83372.046286098906</v>
      </c>
    </row>
    <row r="236" spans="1:5" x14ac:dyDescent="0.4">
      <c r="A236" s="10">
        <v>130</v>
      </c>
      <c r="B236" s="23">
        <f t="shared" ref="B236:B286" si="18">$B$102</f>
        <v>1750.6029894702742</v>
      </c>
      <c r="C236" s="23">
        <f t="shared" ref="C236:C286" si="19">E235*$B$101</f>
        <v>222.3254567629304</v>
      </c>
      <c r="D236" s="23">
        <f t="shared" ref="D236:D286" si="20">B236-C236</f>
        <v>1528.2775327073439</v>
      </c>
      <c r="E236" s="23">
        <f t="shared" ref="E236:E286" si="21">E235-D236</f>
        <v>81843.76875339156</v>
      </c>
    </row>
    <row r="237" spans="1:5" x14ac:dyDescent="0.4">
      <c r="A237" s="10">
        <v>131</v>
      </c>
      <c r="B237" s="23">
        <f t="shared" si="18"/>
        <v>1750.6029894702742</v>
      </c>
      <c r="C237" s="23">
        <f t="shared" si="19"/>
        <v>218.25005000904414</v>
      </c>
      <c r="D237" s="23">
        <f t="shared" si="20"/>
        <v>1532.3529394612301</v>
      </c>
      <c r="E237" s="23">
        <f t="shared" si="21"/>
        <v>80311.415813930333</v>
      </c>
    </row>
    <row r="238" spans="1:5" x14ac:dyDescent="0.4">
      <c r="A238" s="10">
        <v>132</v>
      </c>
      <c r="B238" s="23">
        <f t="shared" si="18"/>
        <v>1750.6029894702742</v>
      </c>
      <c r="C238" s="23">
        <f t="shared" si="19"/>
        <v>214.16377550381421</v>
      </c>
      <c r="D238" s="23">
        <f t="shared" si="20"/>
        <v>1536.4392139664601</v>
      </c>
      <c r="E238" s="23">
        <f t="shared" si="21"/>
        <v>78774.976599963877</v>
      </c>
    </row>
    <row r="239" spans="1:5" x14ac:dyDescent="0.4">
      <c r="A239" s="10">
        <v>133</v>
      </c>
      <c r="B239" s="23">
        <f t="shared" si="18"/>
        <v>1750.6029894702742</v>
      </c>
      <c r="C239" s="23">
        <f t="shared" si="19"/>
        <v>210.06660426657032</v>
      </c>
      <c r="D239" s="23">
        <f t="shared" si="20"/>
        <v>1540.536385203704</v>
      </c>
      <c r="E239" s="23">
        <f t="shared" si="21"/>
        <v>77234.44021476018</v>
      </c>
    </row>
    <row r="240" spans="1:5" x14ac:dyDescent="0.4">
      <c r="A240" s="10">
        <v>134</v>
      </c>
      <c r="B240" s="23">
        <f t="shared" si="18"/>
        <v>1750.6029894702742</v>
      </c>
      <c r="C240" s="23">
        <f t="shared" si="19"/>
        <v>205.95850723936047</v>
      </c>
      <c r="D240" s="23">
        <f t="shared" si="20"/>
        <v>1544.6444822309138</v>
      </c>
      <c r="E240" s="23">
        <f t="shared" si="21"/>
        <v>75689.795732529266</v>
      </c>
    </row>
    <row r="241" spans="1:5" x14ac:dyDescent="0.4">
      <c r="A241" s="10">
        <v>135</v>
      </c>
      <c r="B241" s="23">
        <f t="shared" si="18"/>
        <v>1750.6029894702742</v>
      </c>
      <c r="C241" s="23">
        <f t="shared" si="19"/>
        <v>201.83945528674471</v>
      </c>
      <c r="D241" s="23">
        <f t="shared" si="20"/>
        <v>1548.7635341835296</v>
      </c>
      <c r="E241" s="23">
        <f t="shared" si="21"/>
        <v>74141.03219834574</v>
      </c>
    </row>
    <row r="242" spans="1:5" x14ac:dyDescent="0.4">
      <c r="A242" s="10">
        <v>136</v>
      </c>
      <c r="B242" s="23">
        <f t="shared" si="18"/>
        <v>1750.6029894702742</v>
      </c>
      <c r="C242" s="23">
        <f t="shared" si="19"/>
        <v>197.70941919558862</v>
      </c>
      <c r="D242" s="23">
        <f t="shared" si="20"/>
        <v>1552.8935702746855</v>
      </c>
      <c r="E242" s="23">
        <f t="shared" si="21"/>
        <v>72588.138628071058</v>
      </c>
    </row>
    <row r="243" spans="1:5" x14ac:dyDescent="0.4">
      <c r="A243" s="10">
        <v>137</v>
      </c>
      <c r="B243" s="23">
        <f t="shared" si="18"/>
        <v>1750.6029894702742</v>
      </c>
      <c r="C243" s="23">
        <f t="shared" si="19"/>
        <v>193.56836967485614</v>
      </c>
      <c r="D243" s="23">
        <f t="shared" si="20"/>
        <v>1557.0346197954182</v>
      </c>
      <c r="E243" s="23">
        <f t="shared" si="21"/>
        <v>71031.104008275637</v>
      </c>
    </row>
    <row r="244" spans="1:5" x14ac:dyDescent="0.4">
      <c r="A244" s="10">
        <v>138</v>
      </c>
      <c r="B244" s="23">
        <f t="shared" si="18"/>
        <v>1750.6029894702742</v>
      </c>
      <c r="C244" s="23">
        <f t="shared" si="19"/>
        <v>189.41627735540169</v>
      </c>
      <c r="D244" s="23">
        <f t="shared" si="20"/>
        <v>1561.1867121148725</v>
      </c>
      <c r="E244" s="23">
        <f t="shared" si="21"/>
        <v>69469.917296160769</v>
      </c>
    </row>
    <row r="245" spans="1:5" x14ac:dyDescent="0.4">
      <c r="A245" s="10">
        <v>139</v>
      </c>
      <c r="B245" s="23">
        <f t="shared" si="18"/>
        <v>1750.6029894702742</v>
      </c>
      <c r="C245" s="23">
        <f t="shared" si="19"/>
        <v>185.25311278976204</v>
      </c>
      <c r="D245" s="23">
        <f t="shared" si="20"/>
        <v>1565.3498766805121</v>
      </c>
      <c r="E245" s="23">
        <f t="shared" si="21"/>
        <v>67904.567419480256</v>
      </c>
    </row>
    <row r="246" spans="1:5" x14ac:dyDescent="0.4">
      <c r="A246" s="10">
        <v>140</v>
      </c>
      <c r="B246" s="23">
        <f t="shared" si="18"/>
        <v>1750.6029894702742</v>
      </c>
      <c r="C246" s="23">
        <f t="shared" si="19"/>
        <v>181.07884645194736</v>
      </c>
      <c r="D246" s="23">
        <f t="shared" si="20"/>
        <v>1569.5241430183269</v>
      </c>
      <c r="E246" s="23">
        <f t="shared" si="21"/>
        <v>66335.043276461933</v>
      </c>
    </row>
    <row r="247" spans="1:5" x14ac:dyDescent="0.4">
      <c r="A247" s="10">
        <v>141</v>
      </c>
      <c r="B247" s="23">
        <f t="shared" si="18"/>
        <v>1750.6029894702742</v>
      </c>
      <c r="C247" s="23">
        <f t="shared" si="19"/>
        <v>176.89344873723181</v>
      </c>
      <c r="D247" s="23">
        <f t="shared" si="20"/>
        <v>1573.7095407330423</v>
      </c>
      <c r="E247" s="23">
        <f t="shared" si="21"/>
        <v>64761.333735728891</v>
      </c>
    </row>
    <row r="248" spans="1:5" x14ac:dyDescent="0.4">
      <c r="A248" s="10">
        <v>142</v>
      </c>
      <c r="B248" s="23">
        <f t="shared" si="18"/>
        <v>1750.6029894702742</v>
      </c>
      <c r="C248" s="23">
        <f t="shared" si="19"/>
        <v>172.6968899619437</v>
      </c>
      <c r="D248" s="23">
        <f t="shared" si="20"/>
        <v>1577.9060995083305</v>
      </c>
      <c r="E248" s="23">
        <f t="shared" si="21"/>
        <v>63183.427636220564</v>
      </c>
    </row>
    <row r="249" spans="1:5" x14ac:dyDescent="0.4">
      <c r="A249" s="10">
        <v>143</v>
      </c>
      <c r="B249" s="23">
        <f t="shared" si="18"/>
        <v>1750.6029894702742</v>
      </c>
      <c r="C249" s="23">
        <f t="shared" si="19"/>
        <v>168.48914036325482</v>
      </c>
      <c r="D249" s="23">
        <f t="shared" si="20"/>
        <v>1582.1138491070194</v>
      </c>
      <c r="E249" s="23">
        <f t="shared" si="21"/>
        <v>61601.313787113548</v>
      </c>
    </row>
    <row r="250" spans="1:5" x14ac:dyDescent="0.4">
      <c r="A250" s="10">
        <v>144</v>
      </c>
      <c r="B250" s="23">
        <f t="shared" si="18"/>
        <v>1750.6029894702742</v>
      </c>
      <c r="C250" s="23">
        <f t="shared" si="19"/>
        <v>164.27017009896946</v>
      </c>
      <c r="D250" s="23">
        <f t="shared" si="20"/>
        <v>1586.3328193713048</v>
      </c>
      <c r="E250" s="23">
        <f t="shared" si="21"/>
        <v>60014.980967742245</v>
      </c>
    </row>
    <row r="251" spans="1:5" x14ac:dyDescent="0.4">
      <c r="A251" s="10">
        <v>145</v>
      </c>
      <c r="B251" s="23">
        <f t="shared" si="18"/>
        <v>1750.6029894702742</v>
      </c>
      <c r="C251" s="23">
        <f t="shared" si="19"/>
        <v>160.03994924731265</v>
      </c>
      <c r="D251" s="23">
        <f t="shared" si="20"/>
        <v>1590.5630402229615</v>
      </c>
      <c r="E251" s="23">
        <f t="shared" si="21"/>
        <v>58424.417927519287</v>
      </c>
    </row>
    <row r="252" spans="1:5" x14ac:dyDescent="0.4">
      <c r="A252" s="10">
        <v>146</v>
      </c>
      <c r="B252" s="23">
        <f t="shared" si="18"/>
        <v>1750.6029894702742</v>
      </c>
      <c r="C252" s="23">
        <f t="shared" si="19"/>
        <v>155.79844780671809</v>
      </c>
      <c r="D252" s="23">
        <f t="shared" si="20"/>
        <v>1594.8045416635562</v>
      </c>
      <c r="E252" s="23">
        <f t="shared" si="21"/>
        <v>56829.61338585573</v>
      </c>
    </row>
    <row r="253" spans="1:5" x14ac:dyDescent="0.4">
      <c r="A253" s="10">
        <v>147</v>
      </c>
      <c r="B253" s="23">
        <f t="shared" si="18"/>
        <v>1750.6029894702742</v>
      </c>
      <c r="C253" s="23">
        <f t="shared" si="19"/>
        <v>151.54563569561526</v>
      </c>
      <c r="D253" s="23">
        <f t="shared" si="20"/>
        <v>1599.0573537746591</v>
      </c>
      <c r="E253" s="23">
        <f t="shared" si="21"/>
        <v>55230.556032081069</v>
      </c>
    </row>
    <row r="254" spans="1:5" x14ac:dyDescent="0.4">
      <c r="A254" s="10">
        <v>148</v>
      </c>
      <c r="B254" s="23">
        <f t="shared" si="18"/>
        <v>1750.6029894702742</v>
      </c>
      <c r="C254" s="23">
        <f t="shared" si="19"/>
        <v>147.28148275221619</v>
      </c>
      <c r="D254" s="23">
        <f t="shared" si="20"/>
        <v>1603.3215067180581</v>
      </c>
      <c r="E254" s="23">
        <f t="shared" si="21"/>
        <v>53627.234525363012</v>
      </c>
    </row>
    <row r="255" spans="1:5" x14ac:dyDescent="0.4">
      <c r="A255" s="10">
        <v>149</v>
      </c>
      <c r="B255" s="23">
        <f t="shared" si="18"/>
        <v>1750.6029894702742</v>
      </c>
      <c r="C255" s="23">
        <f t="shared" si="19"/>
        <v>143.00595873430137</v>
      </c>
      <c r="D255" s="23">
        <f t="shared" si="20"/>
        <v>1607.5970307359728</v>
      </c>
      <c r="E255" s="23">
        <f t="shared" si="21"/>
        <v>52019.637494627037</v>
      </c>
    </row>
    <row r="256" spans="1:5" x14ac:dyDescent="0.4">
      <c r="A256" s="10">
        <v>150</v>
      </c>
      <c r="B256" s="23">
        <f t="shared" si="18"/>
        <v>1750.6029894702742</v>
      </c>
      <c r="C256" s="23">
        <f t="shared" si="19"/>
        <v>138.71903331900543</v>
      </c>
      <c r="D256" s="23">
        <f t="shared" si="20"/>
        <v>1611.8839561512689</v>
      </c>
      <c r="E256" s="23">
        <f t="shared" si="21"/>
        <v>50407.753538475765</v>
      </c>
    </row>
    <row r="257" spans="1:5" x14ac:dyDescent="0.4">
      <c r="A257" s="10">
        <v>151</v>
      </c>
      <c r="B257" s="23">
        <f t="shared" si="18"/>
        <v>1750.6029894702742</v>
      </c>
      <c r="C257" s="23">
        <f t="shared" si="19"/>
        <v>134.42067610260204</v>
      </c>
      <c r="D257" s="23">
        <f t="shared" si="20"/>
        <v>1616.1823133676721</v>
      </c>
      <c r="E257" s="23">
        <f t="shared" si="21"/>
        <v>48791.571225108091</v>
      </c>
    </row>
    <row r="258" spans="1:5" x14ac:dyDescent="0.4">
      <c r="A258" s="10">
        <v>152</v>
      </c>
      <c r="B258" s="23">
        <f t="shared" si="18"/>
        <v>1750.6029894702742</v>
      </c>
      <c r="C258" s="23">
        <f t="shared" si="19"/>
        <v>130.11085660028823</v>
      </c>
      <c r="D258" s="23">
        <f t="shared" si="20"/>
        <v>1620.4921328699861</v>
      </c>
      <c r="E258" s="23">
        <f t="shared" si="21"/>
        <v>47171.079092238106</v>
      </c>
    </row>
    <row r="259" spans="1:5" x14ac:dyDescent="0.4">
      <c r="A259" s="10">
        <v>153</v>
      </c>
      <c r="B259" s="23">
        <f t="shared" si="18"/>
        <v>1750.6029894702742</v>
      </c>
      <c r="C259" s="23">
        <f t="shared" si="19"/>
        <v>125.78954424596827</v>
      </c>
      <c r="D259" s="23">
        <f t="shared" si="20"/>
        <v>1624.813445224306</v>
      </c>
      <c r="E259" s="23">
        <f t="shared" si="21"/>
        <v>45546.265647013803</v>
      </c>
    </row>
    <row r="260" spans="1:5" x14ac:dyDescent="0.4">
      <c r="A260" s="10">
        <v>154</v>
      </c>
      <c r="B260" s="23">
        <f t="shared" si="18"/>
        <v>1750.6029894702742</v>
      </c>
      <c r="C260" s="23">
        <f t="shared" si="19"/>
        <v>121.4567083920368</v>
      </c>
      <c r="D260" s="23">
        <f t="shared" si="20"/>
        <v>1629.1462810782375</v>
      </c>
      <c r="E260" s="23">
        <f t="shared" si="21"/>
        <v>43917.119365935563</v>
      </c>
    </row>
    <row r="261" spans="1:5" x14ac:dyDescent="0.4">
      <c r="A261" s="10">
        <v>155</v>
      </c>
      <c r="B261" s="23">
        <f t="shared" si="18"/>
        <v>1750.6029894702742</v>
      </c>
      <c r="C261" s="23">
        <f t="shared" si="19"/>
        <v>117.11231830916149</v>
      </c>
      <c r="D261" s="23">
        <f t="shared" si="20"/>
        <v>1633.4906711611127</v>
      </c>
      <c r="E261" s="23">
        <f t="shared" si="21"/>
        <v>42283.628694774452</v>
      </c>
    </row>
    <row r="262" spans="1:5" x14ac:dyDescent="0.4">
      <c r="A262" s="10">
        <v>156</v>
      </c>
      <c r="B262" s="23">
        <f t="shared" si="18"/>
        <v>1750.6029894702742</v>
      </c>
      <c r="C262" s="23">
        <f t="shared" si="19"/>
        <v>112.75634318606519</v>
      </c>
      <c r="D262" s="23">
        <f t="shared" si="20"/>
        <v>1637.8466462842091</v>
      </c>
      <c r="E262" s="23">
        <f t="shared" si="21"/>
        <v>40645.78204849024</v>
      </c>
    </row>
    <row r="263" spans="1:5" x14ac:dyDescent="0.4">
      <c r="A263" s="10">
        <v>157</v>
      </c>
      <c r="B263" s="23">
        <f t="shared" si="18"/>
        <v>1750.6029894702742</v>
      </c>
      <c r="C263" s="23">
        <f t="shared" si="19"/>
        <v>108.38875212930731</v>
      </c>
      <c r="D263" s="23">
        <f t="shared" si="20"/>
        <v>1642.214237340967</v>
      </c>
      <c r="E263" s="23">
        <f t="shared" si="21"/>
        <v>39003.567811149274</v>
      </c>
    </row>
    <row r="264" spans="1:5" x14ac:dyDescent="0.4">
      <c r="A264" s="10">
        <v>158</v>
      </c>
      <c r="B264" s="23">
        <f t="shared" si="18"/>
        <v>1750.6029894702742</v>
      </c>
      <c r="C264" s="23">
        <f t="shared" si="19"/>
        <v>104.00951416306472</v>
      </c>
      <c r="D264" s="23">
        <f t="shared" si="20"/>
        <v>1646.5934753072095</v>
      </c>
      <c r="E264" s="23">
        <f t="shared" si="21"/>
        <v>37356.974335842067</v>
      </c>
    </row>
    <row r="265" spans="1:5" x14ac:dyDescent="0.4">
      <c r="A265" s="10">
        <v>159</v>
      </c>
      <c r="B265" s="23">
        <f t="shared" si="18"/>
        <v>1750.6029894702742</v>
      </c>
      <c r="C265" s="23">
        <f t="shared" si="19"/>
        <v>99.618598228912177</v>
      </c>
      <c r="D265" s="23">
        <f t="shared" si="20"/>
        <v>1650.9843912413621</v>
      </c>
      <c r="E265" s="23">
        <f t="shared" si="21"/>
        <v>35705.989944600704</v>
      </c>
    </row>
    <row r="266" spans="1:5" x14ac:dyDescent="0.4">
      <c r="A266" s="10">
        <v>160</v>
      </c>
      <c r="B266" s="23">
        <f t="shared" si="18"/>
        <v>1750.6029894702742</v>
      </c>
      <c r="C266" s="23">
        <f t="shared" si="19"/>
        <v>95.215973185601868</v>
      </c>
      <c r="D266" s="23">
        <f t="shared" si="20"/>
        <v>1655.3870162846724</v>
      </c>
      <c r="E266" s="23">
        <f t="shared" si="21"/>
        <v>34050.602928316031</v>
      </c>
    </row>
    <row r="267" spans="1:5" x14ac:dyDescent="0.4">
      <c r="A267" s="10">
        <v>161</v>
      </c>
      <c r="B267" s="23">
        <f t="shared" si="18"/>
        <v>1750.6029894702742</v>
      </c>
      <c r="C267" s="23">
        <f t="shared" si="19"/>
        <v>90.801607808842746</v>
      </c>
      <c r="D267" s="23">
        <f t="shared" si="20"/>
        <v>1659.8013816614314</v>
      </c>
      <c r="E267" s="23">
        <f t="shared" si="21"/>
        <v>32390.801546654598</v>
      </c>
    </row>
    <row r="268" spans="1:5" x14ac:dyDescent="0.4">
      <c r="A268" s="10">
        <v>162</v>
      </c>
      <c r="B268" s="23">
        <f t="shared" si="18"/>
        <v>1750.6029894702742</v>
      </c>
      <c r="C268" s="23">
        <f t="shared" si="19"/>
        <v>86.375470791078925</v>
      </c>
      <c r="D268" s="23">
        <f t="shared" si="20"/>
        <v>1664.2275186791953</v>
      </c>
      <c r="E268" s="23">
        <f t="shared" si="21"/>
        <v>30726.574027975403</v>
      </c>
    </row>
    <row r="269" spans="1:5" x14ac:dyDescent="0.4">
      <c r="A269" s="10">
        <v>163</v>
      </c>
      <c r="B269" s="23">
        <f t="shared" si="18"/>
        <v>1750.6029894702742</v>
      </c>
      <c r="C269" s="23">
        <f t="shared" si="19"/>
        <v>81.937530741267736</v>
      </c>
      <c r="D269" s="23">
        <f t="shared" si="20"/>
        <v>1668.6654587290066</v>
      </c>
      <c r="E269" s="23">
        <f t="shared" si="21"/>
        <v>29057.908569246396</v>
      </c>
    </row>
    <row r="270" spans="1:5" x14ac:dyDescent="0.4">
      <c r="A270" s="10">
        <v>164</v>
      </c>
      <c r="B270" s="23">
        <f t="shared" si="18"/>
        <v>1750.6029894702742</v>
      </c>
      <c r="C270" s="23">
        <f t="shared" si="19"/>
        <v>77.487756184657059</v>
      </c>
      <c r="D270" s="23">
        <f t="shared" si="20"/>
        <v>1673.1152332856173</v>
      </c>
      <c r="E270" s="23">
        <f t="shared" si="21"/>
        <v>27384.793335960778</v>
      </c>
    </row>
    <row r="271" spans="1:5" x14ac:dyDescent="0.4">
      <c r="A271" s="10">
        <v>165</v>
      </c>
      <c r="B271" s="23">
        <f t="shared" si="18"/>
        <v>1750.6029894702742</v>
      </c>
      <c r="C271" s="23">
        <f t="shared" si="19"/>
        <v>73.026115562562069</v>
      </c>
      <c r="D271" s="23">
        <f t="shared" si="20"/>
        <v>1677.5768739077121</v>
      </c>
      <c r="E271" s="23">
        <f t="shared" si="21"/>
        <v>25707.216462053068</v>
      </c>
    </row>
    <row r="272" spans="1:5" x14ac:dyDescent="0.4">
      <c r="A272" s="10">
        <v>166</v>
      </c>
      <c r="B272" s="23">
        <f t="shared" si="18"/>
        <v>1750.6029894702742</v>
      </c>
      <c r="C272" s="23">
        <f t="shared" si="19"/>
        <v>68.552577232141516</v>
      </c>
      <c r="D272" s="23">
        <f t="shared" si="20"/>
        <v>1682.0504122381326</v>
      </c>
      <c r="E272" s="23">
        <f t="shared" si="21"/>
        <v>24025.166049814936</v>
      </c>
    </row>
    <row r="273" spans="1:5" x14ac:dyDescent="0.4">
      <c r="A273" s="10">
        <v>167</v>
      </c>
      <c r="B273" s="23">
        <f t="shared" si="18"/>
        <v>1750.6029894702742</v>
      </c>
      <c r="C273" s="23">
        <f t="shared" si="19"/>
        <v>64.067109466173164</v>
      </c>
      <c r="D273" s="23">
        <f t="shared" si="20"/>
        <v>1686.535880004101</v>
      </c>
      <c r="E273" s="23">
        <f t="shared" si="21"/>
        <v>22338.630169810836</v>
      </c>
    </row>
    <row r="274" spans="1:5" x14ac:dyDescent="0.4">
      <c r="A274" s="10">
        <v>168</v>
      </c>
      <c r="B274" s="23">
        <f t="shared" si="18"/>
        <v>1750.6029894702742</v>
      </c>
      <c r="C274" s="23">
        <f t="shared" si="19"/>
        <v>59.569680452828898</v>
      </c>
      <c r="D274" s="23">
        <f t="shared" si="20"/>
        <v>1691.0333090174454</v>
      </c>
      <c r="E274" s="23">
        <f t="shared" si="21"/>
        <v>20647.59686079339</v>
      </c>
    </row>
    <row r="275" spans="1:5" x14ac:dyDescent="0.4">
      <c r="A275" s="10">
        <v>169</v>
      </c>
      <c r="B275" s="23">
        <f t="shared" si="18"/>
        <v>1750.6029894702742</v>
      </c>
      <c r="C275" s="23">
        <f t="shared" si="19"/>
        <v>55.060258295449039</v>
      </c>
      <c r="D275" s="23">
        <f t="shared" si="20"/>
        <v>1695.5427311748251</v>
      </c>
      <c r="E275" s="23">
        <f t="shared" si="21"/>
        <v>18952.054129618566</v>
      </c>
    </row>
    <row r="276" spans="1:5" x14ac:dyDescent="0.4">
      <c r="A276" s="10">
        <v>170</v>
      </c>
      <c r="B276" s="23">
        <f t="shared" si="18"/>
        <v>1750.6029894702742</v>
      </c>
      <c r="C276" s="23">
        <f t="shared" si="19"/>
        <v>50.538811012316174</v>
      </c>
      <c r="D276" s="23">
        <f t="shared" si="20"/>
        <v>1700.064178457958</v>
      </c>
      <c r="E276" s="23">
        <f t="shared" si="21"/>
        <v>17251.989951160609</v>
      </c>
    </row>
    <row r="277" spans="1:5" x14ac:dyDescent="0.4">
      <c r="A277" s="10">
        <v>171</v>
      </c>
      <c r="B277" s="23">
        <f t="shared" si="18"/>
        <v>1750.6029894702742</v>
      </c>
      <c r="C277" s="23">
        <f t="shared" si="19"/>
        <v>46.005306536428286</v>
      </c>
      <c r="D277" s="23">
        <f t="shared" si="20"/>
        <v>1704.597682933846</v>
      </c>
      <c r="E277" s="23">
        <f t="shared" si="21"/>
        <v>15547.392268226762</v>
      </c>
    </row>
    <row r="278" spans="1:5" x14ac:dyDescent="0.4">
      <c r="A278" s="10">
        <v>172</v>
      </c>
      <c r="B278" s="23">
        <f t="shared" si="18"/>
        <v>1750.6029894702742</v>
      </c>
      <c r="C278" s="23">
        <f t="shared" si="19"/>
        <v>41.459712715271365</v>
      </c>
      <c r="D278" s="23">
        <f t="shared" si="20"/>
        <v>1709.1432767550029</v>
      </c>
      <c r="E278" s="23">
        <f t="shared" si="21"/>
        <v>13838.248991471759</v>
      </c>
    </row>
    <row r="279" spans="1:5" x14ac:dyDescent="0.4">
      <c r="A279" s="10">
        <v>173</v>
      </c>
      <c r="B279" s="23">
        <f t="shared" si="18"/>
        <v>1750.6029894702742</v>
      </c>
      <c r="C279" s="23">
        <f t="shared" si="19"/>
        <v>36.901997310591355</v>
      </c>
      <c r="D279" s="23">
        <f t="shared" si="20"/>
        <v>1713.7009921596828</v>
      </c>
      <c r="E279" s="23">
        <f t="shared" si="21"/>
        <v>12124.547999312075</v>
      </c>
    </row>
    <row r="280" spans="1:5" x14ac:dyDescent="0.4">
      <c r="A280" s="10">
        <v>174</v>
      </c>
      <c r="B280" s="23">
        <f t="shared" si="18"/>
        <v>1750.6029894702742</v>
      </c>
      <c r="C280" s="23">
        <f t="shared" si="19"/>
        <v>32.332127998165532</v>
      </c>
      <c r="D280" s="23">
        <f t="shared" si="20"/>
        <v>1718.2708614721087</v>
      </c>
      <c r="E280" s="23">
        <f t="shared" si="21"/>
        <v>10406.277137839967</v>
      </c>
    </row>
    <row r="281" spans="1:5" x14ac:dyDescent="0.4">
      <c r="A281" s="10">
        <v>175</v>
      </c>
      <c r="B281" s="23">
        <f t="shared" si="18"/>
        <v>1750.6029894702742</v>
      </c>
      <c r="C281" s="23">
        <f t="shared" si="19"/>
        <v>27.750072367573242</v>
      </c>
      <c r="D281" s="23">
        <f t="shared" si="20"/>
        <v>1722.852917102701</v>
      </c>
      <c r="E281" s="23">
        <f t="shared" si="21"/>
        <v>8683.4242207372663</v>
      </c>
    </row>
    <row r="282" spans="1:5" x14ac:dyDescent="0.4">
      <c r="A282" s="10">
        <v>176</v>
      </c>
      <c r="B282" s="23">
        <f t="shared" si="18"/>
        <v>1750.6029894702742</v>
      </c>
      <c r="C282" s="23">
        <f t="shared" si="19"/>
        <v>23.155797921966041</v>
      </c>
      <c r="D282" s="23">
        <f t="shared" si="20"/>
        <v>1727.4471915483082</v>
      </c>
      <c r="E282" s="23">
        <f t="shared" si="21"/>
        <v>6955.9770291889581</v>
      </c>
    </row>
    <row r="283" spans="1:5" x14ac:dyDescent="0.4">
      <c r="A283" s="10">
        <v>177</v>
      </c>
      <c r="B283" s="23">
        <f t="shared" si="18"/>
        <v>1750.6029894702742</v>
      </c>
      <c r="C283" s="23">
        <f t="shared" si="19"/>
        <v>18.54927207783722</v>
      </c>
      <c r="D283" s="23">
        <f t="shared" si="20"/>
        <v>1732.053717392437</v>
      </c>
      <c r="E283" s="23">
        <f t="shared" si="21"/>
        <v>5223.9233117965214</v>
      </c>
    </row>
    <row r="284" spans="1:5" x14ac:dyDescent="0.4">
      <c r="A284" s="10">
        <v>178</v>
      </c>
      <c r="B284" s="23">
        <f t="shared" si="18"/>
        <v>1750.6029894702742</v>
      </c>
      <c r="C284" s="23">
        <f t="shared" si="19"/>
        <v>13.930462164790724</v>
      </c>
      <c r="D284" s="23">
        <f t="shared" si="20"/>
        <v>1736.6725273054835</v>
      </c>
      <c r="E284" s="23">
        <f t="shared" si="21"/>
        <v>3487.2507844910378</v>
      </c>
    </row>
    <row r="285" spans="1:5" x14ac:dyDescent="0.4">
      <c r="A285" s="10">
        <v>179</v>
      </c>
      <c r="B285" s="23">
        <f t="shared" si="18"/>
        <v>1750.6029894702742</v>
      </c>
      <c r="C285" s="23">
        <f t="shared" si="19"/>
        <v>9.2993354253094331</v>
      </c>
      <c r="D285" s="23">
        <f t="shared" si="20"/>
        <v>1741.3036540449648</v>
      </c>
      <c r="E285" s="23">
        <f t="shared" si="21"/>
        <v>1745.9471304460731</v>
      </c>
    </row>
    <row r="286" spans="1:5" x14ac:dyDescent="0.4">
      <c r="A286" s="10">
        <v>180</v>
      </c>
      <c r="B286" s="23">
        <f t="shared" si="18"/>
        <v>1750.6029894702742</v>
      </c>
      <c r="C286" s="23">
        <f t="shared" si="19"/>
        <v>4.6558590145228615</v>
      </c>
      <c r="D286" s="23">
        <f t="shared" si="20"/>
        <v>1745.9471304557514</v>
      </c>
      <c r="E286" s="23">
        <f t="shared" si="21"/>
        <v>-9.6783878689166158E-9</v>
      </c>
    </row>
    <row r="287" spans="1:5" x14ac:dyDescent="0.4">
      <c r="A287" s="10"/>
    </row>
    <row r="288" spans="1:5" x14ac:dyDescent="0.4">
      <c r="A288" s="10"/>
    </row>
    <row r="289" spans="1:1" x14ac:dyDescent="0.4">
      <c r="A289" s="10"/>
    </row>
    <row r="290" spans="1:1" x14ac:dyDescent="0.4">
      <c r="A290" s="10"/>
    </row>
    <row r="291" spans="1:1" x14ac:dyDescent="0.4">
      <c r="A291" s="10"/>
    </row>
    <row r="292" spans="1:1" x14ac:dyDescent="0.4">
      <c r="A292" s="10"/>
    </row>
    <row r="293" spans="1:1" x14ac:dyDescent="0.4">
      <c r="A293" s="10"/>
    </row>
    <row r="294" spans="1:1" x14ac:dyDescent="0.4">
      <c r="A294" s="10"/>
    </row>
    <row r="295" spans="1:1" x14ac:dyDescent="0.4">
      <c r="A295" s="10"/>
    </row>
    <row r="296" spans="1:1" x14ac:dyDescent="0.4">
      <c r="A296" s="10"/>
    </row>
    <row r="297" spans="1:1" x14ac:dyDescent="0.4">
      <c r="A297" s="10"/>
    </row>
    <row r="298" spans="1:1" x14ac:dyDescent="0.4">
      <c r="A298" s="10"/>
    </row>
    <row r="299" spans="1:1" x14ac:dyDescent="0.4">
      <c r="A299" s="10"/>
    </row>
    <row r="300" spans="1:1" x14ac:dyDescent="0.4">
      <c r="A300" s="10"/>
    </row>
    <row r="301" spans="1:1" x14ac:dyDescent="0.4">
      <c r="A301" s="10"/>
    </row>
    <row r="302" spans="1:1" x14ac:dyDescent="0.4">
      <c r="A302" s="10"/>
    </row>
    <row r="303" spans="1:1" x14ac:dyDescent="0.4">
      <c r="A303" s="10"/>
    </row>
    <row r="304" spans="1:1" x14ac:dyDescent="0.4">
      <c r="A304" s="10"/>
    </row>
    <row r="305" spans="1:1" x14ac:dyDescent="0.4">
      <c r="A305" s="10"/>
    </row>
    <row r="306" spans="1:1" x14ac:dyDescent="0.4">
      <c r="A306" s="10"/>
    </row>
    <row r="307" spans="1:1" x14ac:dyDescent="0.4">
      <c r="A307" s="10"/>
    </row>
    <row r="308" spans="1:1" x14ac:dyDescent="0.4">
      <c r="A308" s="10"/>
    </row>
    <row r="309" spans="1:1" x14ac:dyDescent="0.4">
      <c r="A309" s="10"/>
    </row>
    <row r="310" spans="1:1" x14ac:dyDescent="0.4">
      <c r="A310" s="10"/>
    </row>
    <row r="311" spans="1:1" x14ac:dyDescent="0.4">
      <c r="A311" s="10"/>
    </row>
    <row r="312" spans="1:1" x14ac:dyDescent="0.4">
      <c r="A312" s="10"/>
    </row>
    <row r="313" spans="1:1" x14ac:dyDescent="0.4">
      <c r="A313" s="10"/>
    </row>
    <row r="314" spans="1:1" x14ac:dyDescent="0.4">
      <c r="A314" s="10"/>
    </row>
    <row r="315" spans="1:1" x14ac:dyDescent="0.4">
      <c r="A315" s="10"/>
    </row>
    <row r="316" spans="1:1" x14ac:dyDescent="0.4">
      <c r="A316" s="10"/>
    </row>
    <row r="317" spans="1:1" x14ac:dyDescent="0.4">
      <c r="A317" s="10"/>
    </row>
    <row r="318" spans="1:1" x14ac:dyDescent="0.4">
      <c r="A318" s="10"/>
    </row>
    <row r="319" spans="1:1" x14ac:dyDescent="0.4">
      <c r="A319" s="10"/>
    </row>
    <row r="320" spans="1:1" x14ac:dyDescent="0.4">
      <c r="A320" s="10"/>
    </row>
    <row r="321" spans="1:1" x14ac:dyDescent="0.4">
      <c r="A321" s="10"/>
    </row>
    <row r="322" spans="1:1" x14ac:dyDescent="0.4">
      <c r="A322" s="10"/>
    </row>
    <row r="323" spans="1:1" x14ac:dyDescent="0.4">
      <c r="A323" s="10"/>
    </row>
    <row r="324" spans="1:1" x14ac:dyDescent="0.4">
      <c r="A324" s="10"/>
    </row>
    <row r="325" spans="1:1" x14ac:dyDescent="0.4">
      <c r="A32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437F-C39B-4D54-BDAB-F5734E9BF768}">
  <dimension ref="A1:E14"/>
  <sheetViews>
    <sheetView tabSelected="1" zoomScale="145" zoomScaleNormal="145" workbookViewId="0">
      <selection activeCell="D14" sqref="D14"/>
    </sheetView>
  </sheetViews>
  <sheetFormatPr baseColWidth="10" defaultRowHeight="14.6" x14ac:dyDescent="0.4"/>
  <sheetData>
    <row r="1" spans="1:5" x14ac:dyDescent="0.4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</row>
    <row r="2" spans="1:5" x14ac:dyDescent="0.4">
      <c r="A2" s="10">
        <v>1</v>
      </c>
      <c r="B2" s="10">
        <v>5.5</v>
      </c>
      <c r="C2" s="10">
        <v>104.25</v>
      </c>
      <c r="D2" s="10">
        <f>C2/(100+B2)</f>
        <v>0.98815165876777256</v>
      </c>
      <c r="E2" s="25">
        <f>(1/D2)^(1/A2)-1</f>
        <v>1.1990407673860837E-2</v>
      </c>
    </row>
    <row r="3" spans="1:5" x14ac:dyDescent="0.4">
      <c r="A3" s="10">
        <v>2</v>
      </c>
      <c r="B3" s="10">
        <v>3.2</v>
      </c>
      <c r="C3" s="10">
        <v>102.73</v>
      </c>
      <c r="D3" s="10">
        <f>(C3-B3*SUM($D$2:D2))/(100+B3)</f>
        <v>0.96480537492192953</v>
      </c>
      <c r="E3" s="25">
        <f t="shared" ref="E3:E5" si="0">(1/D3)^(1/A3)-1</f>
        <v>1.8075867111683852E-2</v>
      </c>
    </row>
    <row r="4" spans="1:5" x14ac:dyDescent="0.4">
      <c r="A4" s="10">
        <v>3</v>
      </c>
      <c r="B4" s="10">
        <v>4.8</v>
      </c>
      <c r="C4" s="10">
        <v>107.47</v>
      </c>
      <c r="D4" s="10">
        <f>(C4-B4*SUM($D$2:D3))/(100+B4)</f>
        <v>0.93602868547986096</v>
      </c>
      <c r="E4" s="25">
        <f t="shared" si="0"/>
        <v>2.2280979859979899E-2</v>
      </c>
    </row>
    <row r="5" spans="1:5" x14ac:dyDescent="0.4">
      <c r="A5" s="10">
        <v>4</v>
      </c>
      <c r="B5" s="10">
        <v>6.7</v>
      </c>
      <c r="C5" s="10">
        <v>114.16</v>
      </c>
      <c r="D5" s="10">
        <f>(C5-B5*SUM($D$2:D4))/(100+B5)</f>
        <v>0.88850792578785309</v>
      </c>
      <c r="E5" s="25">
        <f t="shared" si="0"/>
        <v>2.9993949294881084E-2</v>
      </c>
    </row>
    <row r="7" spans="1:5" x14ac:dyDescent="0.4">
      <c r="B7" s="14" t="s">
        <v>53</v>
      </c>
    </row>
    <row r="9" spans="1:5" x14ac:dyDescent="0.4">
      <c r="B9">
        <v>1</v>
      </c>
      <c r="C9">
        <v>1.5</v>
      </c>
      <c r="D9">
        <f>C9/(1+E2)^B9</f>
        <v>1.4822274881516588</v>
      </c>
    </row>
    <row r="10" spans="1:5" x14ac:dyDescent="0.4">
      <c r="B10">
        <v>2</v>
      </c>
      <c r="C10">
        <v>1.5</v>
      </c>
      <c r="D10">
        <f t="shared" ref="D10:D12" si="1">C10/(1+E3)^B10</f>
        <v>1.4472080623828945</v>
      </c>
    </row>
    <row r="11" spans="1:5" x14ac:dyDescent="0.4">
      <c r="B11">
        <v>3</v>
      </c>
      <c r="C11">
        <v>1.5</v>
      </c>
      <c r="D11">
        <f t="shared" si="1"/>
        <v>1.4040430282197911</v>
      </c>
    </row>
    <row r="12" spans="1:5" x14ac:dyDescent="0.4">
      <c r="B12">
        <v>4</v>
      </c>
      <c r="C12">
        <v>101.5</v>
      </c>
      <c r="D12">
        <f t="shared" si="1"/>
        <v>90.183554467467104</v>
      </c>
    </row>
    <row r="14" spans="1:5" x14ac:dyDescent="0.4">
      <c r="C14" t="s">
        <v>49</v>
      </c>
      <c r="D14" s="6">
        <f>SUM(D9:D12)</f>
        <v>94.517033046221442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Calcul actuariel</vt:lpstr>
      <vt:lpstr>Exo bootstrap ZC oblig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Chaix</dc:creator>
  <cp:lastModifiedBy>Antonin Chaix</cp:lastModifiedBy>
  <dcterms:created xsi:type="dcterms:W3CDTF">2025-09-02T11:51:20Z</dcterms:created>
  <dcterms:modified xsi:type="dcterms:W3CDTF">2025-09-04T14:34:18Z</dcterms:modified>
</cp:coreProperties>
</file>