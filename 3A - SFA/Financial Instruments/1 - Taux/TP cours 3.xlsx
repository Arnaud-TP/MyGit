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Instruments Financiers\My supports\2025\Ressources cours Instruments Financiers\1 - Taux\"/>
    </mc:Choice>
  </mc:AlternateContent>
  <xr:revisionPtr revIDLastSave="0" documentId="13_ncr:1_{17A50ACE-2BFE-4C7D-90D5-A021A37EE48E}" xr6:coauthVersionLast="47" xr6:coauthVersionMax="47" xr10:uidLastSave="{00000000-0000-0000-0000-000000000000}"/>
  <bookViews>
    <workbookView xWindow="-103" yWindow="-103" windowWidth="24892" windowHeight="15634" xr2:uid="{C840D1A9-69ED-418F-822A-FCD78F113C58}"/>
  </bookViews>
  <sheets>
    <sheet name="Bootstrap Euribor" sheetId="1" r:id="rId1"/>
    <sheet name="Future Eurib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5" i="2"/>
  <c r="B16" i="2" s="1"/>
  <c r="B10" i="2"/>
  <c r="B11" i="2" s="1"/>
  <c r="C11" i="2" s="1"/>
  <c r="D21" i="2"/>
  <c r="B20" i="2"/>
  <c r="B21" i="2" s="1"/>
  <c r="B5" i="2"/>
  <c r="B6" i="2" s="1"/>
  <c r="E23" i="1"/>
  <c r="E24" i="1"/>
  <c r="H13" i="1"/>
  <c r="H12" i="1"/>
  <c r="H11" i="1"/>
  <c r="G13" i="1"/>
  <c r="G12" i="1"/>
  <c r="G11" i="1"/>
  <c r="F13" i="1"/>
  <c r="F12" i="1"/>
  <c r="F11" i="1"/>
  <c r="E13" i="1"/>
  <c r="E12" i="1"/>
  <c r="E11" i="1"/>
  <c r="C13" i="1"/>
  <c r="C12" i="1"/>
  <c r="C11" i="1"/>
  <c r="C21" i="2" l="1"/>
  <c r="G10" i="1" l="1"/>
  <c r="G9" i="1"/>
  <c r="B4" i="1"/>
  <c r="B5" i="1" s="1"/>
  <c r="C9" i="1"/>
  <c r="C10" i="1" s="1"/>
  <c r="E10" i="1" s="1"/>
  <c r="C8" i="1"/>
  <c r="D8" i="1" s="1"/>
  <c r="C24" i="1" l="1"/>
  <c r="D24" i="1" s="1"/>
  <c r="F10" i="1"/>
  <c r="H10" i="1" s="1"/>
  <c r="D23" i="1" s="1"/>
  <c r="E8" i="1"/>
  <c r="F8" i="1" s="1"/>
  <c r="G8" i="1"/>
  <c r="E9" i="1"/>
  <c r="F9" i="1" s="1"/>
  <c r="H9" i="1" s="1"/>
  <c r="H8" i="1" l="1"/>
</calcChain>
</file>

<file path=xl/sharedStrings.xml><?xml version="1.0" encoding="utf-8"?>
<sst xmlns="http://schemas.openxmlformats.org/spreadsheetml/2006/main" count="50" uniqueCount="35">
  <si>
    <t>Bootstrap courbe Euribor</t>
  </si>
  <si>
    <t>Date</t>
  </si>
  <si>
    <t>Taux</t>
  </si>
  <si>
    <t>Valeur</t>
  </si>
  <si>
    <t>€STR</t>
  </si>
  <si>
    <t>E3M</t>
  </si>
  <si>
    <t>E6M</t>
  </si>
  <si>
    <t>Départ</t>
  </si>
  <si>
    <t>Fin</t>
  </si>
  <si>
    <t>year fraction</t>
  </si>
  <si>
    <t>DF</t>
  </si>
  <si>
    <t>Taux ZC</t>
  </si>
  <si>
    <t>T (math)</t>
  </si>
  <si>
    <t>DF(2J)</t>
  </si>
  <si>
    <t>Tx Interb 2J</t>
  </si>
  <si>
    <t>Il doit être équivalent, de placer</t>
  </si>
  <si>
    <t>100€ entre aujourd'hui et le 11 mars 26 (2J+6M) à taux ZC 2,144%</t>
  </si>
  <si>
    <t>et</t>
  </si>
  <si>
    <t>100€ entre aujourd'hui et J+2 @ Tx2J (€STR) puis la valeur acquise à taux E6M jusqu'en 2J+6M</t>
  </si>
  <si>
    <t>ZC</t>
  </si>
  <si>
    <t>J</t>
  </si>
  <si>
    <t>J+2</t>
  </si>
  <si>
    <t>J+2+6M</t>
  </si>
  <si>
    <t>Interbancaire</t>
  </si>
  <si>
    <t>FRA 6x12</t>
  </si>
  <si>
    <t>FRA 12x18</t>
  </si>
  <si>
    <t>FRA 18x24</t>
  </si>
  <si>
    <t>J+2+12M</t>
  </si>
  <si>
    <t>Future Euribor (3M) DEC 25</t>
  </si>
  <si>
    <t>Prix</t>
  </si>
  <si>
    <t>&lt; fixing de l'Euribor 3M à maturité du contrat</t>
  </si>
  <si>
    <t>&lt; date de maturité du contrat</t>
  </si>
  <si>
    <t>&lt; prix d'achat aujourd'hui (à la cloture)</t>
  </si>
  <si>
    <t>&lt; appel de marge reçu</t>
  </si>
  <si>
    <t>&lt; appel de marge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</si>
</sst>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7" formatCode="#,##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5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7" fontId="0" fillId="0" borderId="0" xfId="0" applyNumberFormat="1"/>
    <xf numFmtId="0" fontId="3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8684-3101-409B-8BEC-BD3A0E55D4F9}">
  <dimension ref="A1:H24"/>
  <sheetViews>
    <sheetView tabSelected="1" zoomScale="130" zoomScaleNormal="130" workbookViewId="0">
      <selection activeCell="A3" sqref="A3"/>
    </sheetView>
  </sheetViews>
  <sheetFormatPr baseColWidth="10" defaultRowHeight="14.6" x14ac:dyDescent="0.4"/>
  <sheetData>
    <row r="1" spans="1:8" x14ac:dyDescent="0.4">
      <c r="A1" s="2" t="s">
        <v>0</v>
      </c>
    </row>
    <row r="3" spans="1:8" x14ac:dyDescent="0.4">
      <c r="A3" t="s">
        <v>1</v>
      </c>
      <c r="B3" s="1">
        <v>45909</v>
      </c>
    </row>
    <row r="4" spans="1:8" x14ac:dyDescent="0.4">
      <c r="A4" t="s">
        <v>14</v>
      </c>
      <c r="B4" s="3">
        <f>B8</f>
        <v>1.9220000000000001E-2</v>
      </c>
    </row>
    <row r="5" spans="1:8" x14ac:dyDescent="0.4">
      <c r="A5" t="s">
        <v>13</v>
      </c>
      <c r="B5">
        <f>1/(1+(2/360)*B4)</f>
        <v>0.99989323362249882</v>
      </c>
    </row>
    <row r="7" spans="1:8" x14ac:dyDescent="0.4">
      <c r="A7" s="9" t="s">
        <v>2</v>
      </c>
      <c r="B7" s="9" t="s">
        <v>3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12</v>
      </c>
      <c r="H7" s="9" t="s">
        <v>11</v>
      </c>
    </row>
    <row r="8" spans="1:8" x14ac:dyDescent="0.4">
      <c r="A8" s="5" t="s">
        <v>4</v>
      </c>
      <c r="B8" s="6">
        <v>1.9220000000000001E-2</v>
      </c>
      <c r="C8" s="7">
        <f>B3</f>
        <v>45909</v>
      </c>
      <c r="D8" s="7">
        <f>C8+1</f>
        <v>45910</v>
      </c>
      <c r="E8" s="5">
        <f>(D8-C8)/360</f>
        <v>2.7777777777777779E-3</v>
      </c>
      <c r="F8" s="5">
        <f>1/(1+E8*B8)</f>
        <v>0.99994661396133233</v>
      </c>
      <c r="G8" s="5">
        <f>(D8-$B$3)/365</f>
        <v>2.7397260273972603E-3</v>
      </c>
      <c r="H8" s="8">
        <f>(1/F8)^(1/G8)-1</f>
        <v>1.9677523899781058E-2</v>
      </c>
    </row>
    <row r="9" spans="1:8" x14ac:dyDescent="0.4">
      <c r="A9" s="5" t="s">
        <v>5</v>
      </c>
      <c r="B9" s="6">
        <v>2.034E-2</v>
      </c>
      <c r="C9" s="7">
        <f>B3+2</f>
        <v>45911</v>
      </c>
      <c r="D9" s="7">
        <v>46002</v>
      </c>
      <c r="E9" s="5">
        <f t="shared" ref="E9:E13" si="0">(D9-C9)/360</f>
        <v>0.25277777777777777</v>
      </c>
      <c r="F9" s="5">
        <f>$B$5/(1+E9*B9)</f>
        <v>0.99477857955571325</v>
      </c>
      <c r="G9" s="5">
        <f t="shared" ref="G9:G13" si="1">(D9-$B$3)/365</f>
        <v>0.25479452054794521</v>
      </c>
      <c r="H9" s="8">
        <f t="shared" ref="H9:H13" si="2">(1/F9)^(1/G9)-1</f>
        <v>2.0758888536224429E-2</v>
      </c>
    </row>
    <row r="10" spans="1:8" x14ac:dyDescent="0.4">
      <c r="A10" s="5" t="s">
        <v>6</v>
      </c>
      <c r="B10" s="6">
        <v>2.1049999999999999E-2</v>
      </c>
      <c r="C10" s="7">
        <f>C9</f>
        <v>45911</v>
      </c>
      <c r="D10" s="7">
        <v>46092</v>
      </c>
      <c r="E10" s="5">
        <f t="shared" si="0"/>
        <v>0.50277777777777777</v>
      </c>
      <c r="F10" s="5">
        <f>$B$5/(1+E10*B10)</f>
        <v>0.98942171637122056</v>
      </c>
      <c r="G10" s="5">
        <f t="shared" si="1"/>
        <v>0.50136986301369868</v>
      </c>
      <c r="H10" s="8">
        <f t="shared" si="2"/>
        <v>2.1437705498834836E-2</v>
      </c>
    </row>
    <row r="11" spans="1:8" x14ac:dyDescent="0.4">
      <c r="A11" s="5" t="s">
        <v>24</v>
      </c>
      <c r="B11" s="6">
        <v>2.4899999999999999E-2</v>
      </c>
      <c r="C11" s="7">
        <f>D10</f>
        <v>46092</v>
      </c>
      <c r="D11" s="7">
        <v>46276</v>
      </c>
      <c r="E11" s="5">
        <f t="shared" si="0"/>
        <v>0.51111111111111107</v>
      </c>
      <c r="F11">
        <f>F10/(1+E11*B11)</f>
        <v>0.9769879168165353</v>
      </c>
      <c r="G11" s="5">
        <f t="shared" si="1"/>
        <v>1.0054794520547945</v>
      </c>
      <c r="H11" s="8">
        <f t="shared" si="2"/>
        <v>2.3424260353657189E-2</v>
      </c>
    </row>
    <row r="12" spans="1:8" x14ac:dyDescent="0.4">
      <c r="A12" s="5" t="s">
        <v>25</v>
      </c>
      <c r="B12" s="6">
        <v>3.023E-2</v>
      </c>
      <c r="C12" s="7">
        <f>D11</f>
        <v>46276</v>
      </c>
      <c r="D12" s="7">
        <v>46457</v>
      </c>
      <c r="E12" s="5">
        <f t="shared" si="0"/>
        <v>0.50277777777777777</v>
      </c>
      <c r="F12">
        <f t="shared" ref="F12:F13" si="3">F11/(1+E12*B12)</f>
        <v>0.96236101842967314</v>
      </c>
      <c r="G12" s="5">
        <f t="shared" si="1"/>
        <v>1.5013698630136987</v>
      </c>
      <c r="H12" s="8">
        <f t="shared" si="2"/>
        <v>2.5883038859133567E-2</v>
      </c>
    </row>
    <row r="13" spans="1:8" x14ac:dyDescent="0.4">
      <c r="A13" s="5" t="s">
        <v>26</v>
      </c>
      <c r="B13" s="6">
        <v>3.6209999999999999E-2</v>
      </c>
      <c r="C13" s="7">
        <f>D12</f>
        <v>46457</v>
      </c>
      <c r="D13" s="7">
        <v>46641</v>
      </c>
      <c r="E13" s="5">
        <f t="shared" si="0"/>
        <v>0.51111111111111107</v>
      </c>
      <c r="F13">
        <f t="shared" si="3"/>
        <v>0.94487392180092933</v>
      </c>
      <c r="G13" s="5">
        <f t="shared" si="1"/>
        <v>2.0054794520547947</v>
      </c>
      <c r="H13" s="8">
        <f t="shared" si="2"/>
        <v>2.8677939668382502E-2</v>
      </c>
    </row>
    <row r="17" spans="1:5" x14ac:dyDescent="0.4">
      <c r="A17" s="10" t="s">
        <v>15</v>
      </c>
    </row>
    <row r="18" spans="1:5" x14ac:dyDescent="0.4">
      <c r="A18" s="10" t="s">
        <v>16</v>
      </c>
    </row>
    <row r="19" spans="1:5" x14ac:dyDescent="0.4">
      <c r="A19" s="10" t="s">
        <v>17</v>
      </c>
    </row>
    <row r="20" spans="1:5" x14ac:dyDescent="0.4">
      <c r="A20" s="10" t="s">
        <v>18</v>
      </c>
    </row>
    <row r="22" spans="1:5" x14ac:dyDescent="0.4">
      <c r="A22" s="5"/>
      <c r="B22" s="9" t="s">
        <v>20</v>
      </c>
      <c r="C22" s="9" t="s">
        <v>21</v>
      </c>
      <c r="D22" s="9" t="s">
        <v>22</v>
      </c>
      <c r="E22" s="9" t="s">
        <v>27</v>
      </c>
    </row>
    <row r="23" spans="1:5" x14ac:dyDescent="0.4">
      <c r="A23" s="11" t="s">
        <v>19</v>
      </c>
      <c r="B23" s="5">
        <v>100</v>
      </c>
      <c r="C23" s="5"/>
      <c r="D23" s="5">
        <f>B23*(1+H10)^G10</f>
        <v>101.06913800796451</v>
      </c>
      <c r="E23">
        <f>B23*(1+H11)^G11</f>
        <v>102.35541123767922</v>
      </c>
    </row>
    <row r="24" spans="1:5" x14ac:dyDescent="0.4">
      <c r="A24" s="11" t="s">
        <v>23</v>
      </c>
      <c r="B24" s="5">
        <v>100</v>
      </c>
      <c r="C24" s="5">
        <f>B24*(1+(2/360)*B4)</f>
        <v>100.01067777777777</v>
      </c>
      <c r="D24" s="5">
        <f>C24*(1+E10*B10)</f>
        <v>101.0691380079645</v>
      </c>
      <c r="E24">
        <f>D24*(1+E11*B11)</f>
        <v>102.35541123767921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4BEC-68A4-466D-850F-C0B61A892E42}">
  <dimension ref="A1:D21"/>
  <sheetViews>
    <sheetView zoomScale="160" zoomScaleNormal="160" workbookViewId="0"/>
  </sheetViews>
  <sheetFormatPr baseColWidth="10" defaultRowHeight="14.6" x14ac:dyDescent="0.4"/>
  <sheetData>
    <row r="1" spans="1:4" x14ac:dyDescent="0.4">
      <c r="A1" s="2" t="s">
        <v>28</v>
      </c>
    </row>
    <row r="3" spans="1:4" x14ac:dyDescent="0.4">
      <c r="A3" t="s">
        <v>1</v>
      </c>
      <c r="B3" s="1">
        <v>45909</v>
      </c>
    </row>
    <row r="4" spans="1:4" x14ac:dyDescent="0.4">
      <c r="A4" t="s">
        <v>29</v>
      </c>
      <c r="B4">
        <v>98.03</v>
      </c>
      <c r="C4" t="s">
        <v>32</v>
      </c>
    </row>
    <row r="5" spans="1:4" x14ac:dyDescent="0.4">
      <c r="A5" t="s">
        <v>2</v>
      </c>
      <c r="B5" s="4">
        <f>(100-B4)/100</f>
        <v>1.9699999999999988E-2</v>
      </c>
    </row>
    <row r="6" spans="1:4" x14ac:dyDescent="0.4">
      <c r="A6" t="s">
        <v>3</v>
      </c>
      <c r="B6" s="12">
        <f>1000000*0.25*(1-B5)</f>
        <v>245075.00000000003</v>
      </c>
    </row>
    <row r="7" spans="1:4" x14ac:dyDescent="0.4">
      <c r="B7" s="12"/>
    </row>
    <row r="8" spans="1:4" x14ac:dyDescent="0.4">
      <c r="A8" t="s">
        <v>1</v>
      </c>
      <c r="B8" s="1">
        <v>45910</v>
      </c>
    </row>
    <row r="9" spans="1:4" x14ac:dyDescent="0.4">
      <c r="A9" t="s">
        <v>29</v>
      </c>
      <c r="B9">
        <v>98.13</v>
      </c>
    </row>
    <row r="10" spans="1:4" x14ac:dyDescent="0.4">
      <c r="A10" t="s">
        <v>2</v>
      </c>
      <c r="B10" s="4">
        <f>(100-B9)/100</f>
        <v>1.8700000000000046E-2</v>
      </c>
    </row>
    <row r="11" spans="1:4" x14ac:dyDescent="0.4">
      <c r="A11" t="s">
        <v>3</v>
      </c>
      <c r="B11" s="12">
        <f>1000000*0.25*(1-B10)</f>
        <v>245325</v>
      </c>
      <c r="C11" s="12">
        <f>B11-B6</f>
        <v>249.9999999999709</v>
      </c>
      <c r="D11" s="13" t="s">
        <v>33</v>
      </c>
    </row>
    <row r="12" spans="1:4" x14ac:dyDescent="0.4">
      <c r="B12" s="12"/>
      <c r="C12" s="12"/>
      <c r="D12" s="13"/>
    </row>
    <row r="13" spans="1:4" x14ac:dyDescent="0.4">
      <c r="A13" t="s">
        <v>1</v>
      </c>
      <c r="B13" s="1">
        <v>45911</v>
      </c>
    </row>
    <row r="14" spans="1:4" x14ac:dyDescent="0.4">
      <c r="A14" t="s">
        <v>29</v>
      </c>
      <c r="B14">
        <v>98.09</v>
      </c>
    </row>
    <row r="15" spans="1:4" x14ac:dyDescent="0.4">
      <c r="A15" t="s">
        <v>2</v>
      </c>
      <c r="B15" s="4">
        <f>(100-B14)/100</f>
        <v>1.9099999999999964E-2</v>
      </c>
    </row>
    <row r="16" spans="1:4" x14ac:dyDescent="0.4">
      <c r="A16" t="s">
        <v>3</v>
      </c>
      <c r="B16" s="12">
        <f>1000000*0.25*(1-B15)</f>
        <v>245225</v>
      </c>
      <c r="C16" s="12">
        <f>B16-B11</f>
        <v>-100</v>
      </c>
      <c r="D16" s="13" t="s">
        <v>34</v>
      </c>
    </row>
    <row r="18" spans="1:4" x14ac:dyDescent="0.4">
      <c r="A18" t="s">
        <v>1</v>
      </c>
      <c r="B18" s="1">
        <v>46006</v>
      </c>
      <c r="C18" t="s">
        <v>31</v>
      </c>
    </row>
    <row r="19" spans="1:4" x14ac:dyDescent="0.4">
      <c r="A19" t="s">
        <v>29</v>
      </c>
      <c r="B19">
        <v>97.97</v>
      </c>
    </row>
    <row r="20" spans="1:4" x14ac:dyDescent="0.4">
      <c r="A20" t="s">
        <v>2</v>
      </c>
      <c r="B20" s="4">
        <f>(100-B19)/100</f>
        <v>2.0300000000000012E-2</v>
      </c>
      <c r="C20" t="s">
        <v>30</v>
      </c>
    </row>
    <row r="21" spans="1:4" x14ac:dyDescent="0.4">
      <c r="A21" t="s">
        <v>3</v>
      </c>
      <c r="B21" s="12">
        <f>1000000*0.25*(1-B20)</f>
        <v>244925</v>
      </c>
      <c r="C21" s="12">
        <f>B21-B6</f>
        <v>-150.0000000000291</v>
      </c>
      <c r="D21">
        <f>25*(-6)</f>
        <v>-150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Bootstrap Euribor</vt:lpstr>
      <vt:lpstr>Future Euribor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2025-09-09T11:23:07Z</dcterms:created>
  <dcterms:modified xsi:type="dcterms:W3CDTF">2025-09-09T14:36:20Z</dcterms:modified>
</cp:coreProperties>
</file>