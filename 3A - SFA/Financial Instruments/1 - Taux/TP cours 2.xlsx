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Mon Drive\Supports formations\ENSAE - Instruments Financiers\My supports\2025\Ressources cours Instruments Financiers\1 - Taux\"/>
    </mc:Choice>
  </mc:AlternateContent>
  <xr:revisionPtr revIDLastSave="0" documentId="13_ncr:1_{14B60182-5586-4E58-B2AA-BC62C32598CB}" xr6:coauthVersionLast="47" xr6:coauthVersionMax="47" xr10:uidLastSave="{00000000-0000-0000-0000-000000000000}"/>
  <bookViews>
    <workbookView xWindow="-103" yWindow="-103" windowWidth="24892" windowHeight="15634" xr2:uid="{417C79BB-3557-4EC1-BF79-7A35AD55244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D57" i="1"/>
  <c r="D58" i="1"/>
  <c r="D59" i="1"/>
  <c r="D60" i="1"/>
  <c r="D61" i="1"/>
  <c r="D62" i="1"/>
  <c r="D56" i="1"/>
  <c r="C62" i="1"/>
  <c r="C61" i="1"/>
  <c r="C60" i="1"/>
  <c r="C59" i="1"/>
  <c r="C58" i="1"/>
  <c r="C57" i="1"/>
  <c r="C56" i="1"/>
  <c r="A56" i="1"/>
  <c r="B47" i="1"/>
  <c r="B48" i="1" s="1"/>
  <c r="B50" i="1" s="1"/>
  <c r="B56" i="1" s="1"/>
  <c r="F31" i="1"/>
  <c r="G25" i="1"/>
  <c r="G27" i="1"/>
  <c r="C28" i="1"/>
  <c r="C29" i="1"/>
  <c r="C30" i="1"/>
  <c r="C31" i="1"/>
  <c r="C32" i="1"/>
  <c r="C33" i="1"/>
  <c r="C34" i="1"/>
  <c r="C35" i="1"/>
  <c r="C36" i="1"/>
  <c r="C27" i="1"/>
  <c r="F11" i="1"/>
  <c r="F10" i="1"/>
  <c r="F9" i="1"/>
  <c r="F8" i="1"/>
  <c r="F7" i="1"/>
  <c r="F6" i="1"/>
  <c r="F5" i="1"/>
  <c r="D5" i="1"/>
  <c r="B6" i="1"/>
  <c r="B7" i="1" s="1"/>
  <c r="B8" i="1" s="1"/>
  <c r="B9" i="1" s="1"/>
  <c r="B10" i="1" s="1"/>
  <c r="B11" i="1" s="1"/>
  <c r="B12" i="1" s="1"/>
  <c r="B13" i="1" s="1"/>
  <c r="B14" i="1" s="1"/>
  <c r="D64" i="1" l="1"/>
  <c r="F32" i="1"/>
  <c r="F33" i="1" s="1"/>
  <c r="B24" i="1"/>
  <c r="D6" i="1"/>
  <c r="D8" i="1"/>
  <c r="D7" i="1"/>
  <c r="D11" i="1"/>
  <c r="D9" i="1"/>
  <c r="D10" i="1"/>
  <c r="D14" i="1" l="1"/>
  <c r="F4" i="1" s="1"/>
  <c r="D15" i="1" s="1"/>
</calcChain>
</file>

<file path=xl/sharedStrings.xml><?xml version="1.0" encoding="utf-8"?>
<sst xmlns="http://schemas.openxmlformats.org/spreadsheetml/2006/main" count="40" uniqueCount="31">
  <si>
    <t>La courbe ZC déterminée à partir des obligations de marché est donnée plus bas</t>
  </si>
  <si>
    <t>Maturité</t>
  </si>
  <si>
    <t>Taux ZC</t>
  </si>
  <si>
    <t>Déterminer le prix d'une oblig 7 ans de taux facial 3,25%. Déterminer son TRA. Commenter….</t>
  </si>
  <si>
    <t>Flux</t>
  </si>
  <si>
    <t>VA</t>
  </si>
  <si>
    <t>PRIX</t>
  </si>
  <si>
    <t>&lt; au dessus du pair car, taux ZC &lt; taux facial 3.25%</t>
  </si>
  <si>
    <t>TRA (YTM)</t>
  </si>
  <si>
    <t>Sensi, duration, convexité</t>
  </si>
  <si>
    <t>On prend une oblig 10 ans de taux facial 2,25%</t>
  </si>
  <si>
    <t>On m'indique que son TRA vaut 1,73%</t>
  </si>
  <si>
    <t>Calculer son prix, sa sensibilité, sa duration</t>
  </si>
  <si>
    <t>Années</t>
  </si>
  <si>
    <t>TRA</t>
  </si>
  <si>
    <t>SENSI</t>
  </si>
  <si>
    <t>Sensi empirique</t>
  </si>
  <si>
    <t>Duration</t>
  </si>
  <si>
    <t>Sensi théorique</t>
  </si>
  <si>
    <t>Coupon couru, clean price, dirty price</t>
  </si>
  <si>
    <t>Date</t>
  </si>
  <si>
    <t xml:space="preserve">Coupon </t>
  </si>
  <si>
    <t>Cours</t>
  </si>
  <si>
    <t>Dernier cpn</t>
  </si>
  <si>
    <t>Prorata année</t>
  </si>
  <si>
    <t>Cpn couru</t>
  </si>
  <si>
    <t>Prix achat</t>
  </si>
  <si>
    <t>&lt; Dirty price (courbe bleue sur les slides)</t>
  </si>
  <si>
    <t>&lt; Clean price, prix pied de coupon (courbe rose sur les slides)</t>
  </si>
  <si>
    <t>Frac années</t>
  </si>
  <si>
    <t>&lt; avec la fct TRI.PAIEMENTS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</si>
</sst>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0" fontId="2" fillId="0" borderId="1" xfId="0" applyFont="1" applyBorder="1"/>
    <xf numFmtId="10" fontId="2" fillId="0" borderId="2" xfId="0" applyNumberFormat="1" applyFont="1" applyBorder="1"/>
    <xf numFmtId="0" fontId="2" fillId="0" borderId="3" xfId="0" applyFont="1" applyBorder="1"/>
    <xf numFmtId="0" fontId="3" fillId="0" borderId="4" xfId="0" applyFont="1" applyBorder="1"/>
    <xf numFmtId="10" fontId="0" fillId="0" borderId="0" xfId="1" applyNumberFormat="1" applyFont="1"/>
    <xf numFmtId="10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0" fontId="2" fillId="0" borderId="0" xfId="1" applyNumberFormat="1" applyFont="1"/>
    <xf numFmtId="169" fontId="3" fillId="0" borderId="0" xfId="0" applyNumberFormat="1" applyFont="1"/>
    <xf numFmtId="2" fontId="3" fillId="0" borderId="0" xfId="0" applyNumberFormat="1" applyFont="1"/>
    <xf numFmtId="15" fontId="0" fillId="0" borderId="0" xfId="0" applyNumberFormat="1"/>
    <xf numFmtId="0" fontId="2" fillId="0" borderId="5" xfId="0" applyFont="1" applyBorder="1"/>
    <xf numFmtId="10" fontId="3" fillId="0" borderId="6" xfId="0" applyNumberFormat="1" applyFont="1" applyBorder="1"/>
    <xf numFmtId="15" fontId="0" fillId="0" borderId="0" xfId="0" applyNumberFormat="1" applyAlignment="1">
      <alignment horizontal="center"/>
    </xf>
    <xf numFmtId="0" fontId="5" fillId="0" borderId="0" xfId="0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EBBF-4DA5-40A7-9486-93C9AE1BBF9C}">
  <dimension ref="A1:G64"/>
  <sheetViews>
    <sheetView tabSelected="1" topLeftCell="A39" zoomScale="145" zoomScaleNormal="145" workbookViewId="0">
      <selection activeCell="H57" sqref="H57"/>
    </sheetView>
  </sheetViews>
  <sheetFormatPr baseColWidth="10" defaultRowHeight="14.6" x14ac:dyDescent="0.4"/>
  <sheetData>
    <row r="1" spans="1:6" x14ac:dyDescent="0.4">
      <c r="A1" t="s">
        <v>0</v>
      </c>
    </row>
    <row r="2" spans="1:6" x14ac:dyDescent="0.4">
      <c r="A2" t="s">
        <v>3</v>
      </c>
    </row>
    <row r="4" spans="1:6" x14ac:dyDescent="0.4">
      <c r="A4" s="6" t="s">
        <v>1</v>
      </c>
      <c r="B4" s="6" t="s">
        <v>2</v>
      </c>
      <c r="C4" s="6" t="s">
        <v>4</v>
      </c>
      <c r="D4" s="6" t="s">
        <v>5</v>
      </c>
      <c r="F4">
        <f>-D14</f>
        <v>-105.20815112013811</v>
      </c>
    </row>
    <row r="5" spans="1:6" x14ac:dyDescent="0.4">
      <c r="A5" s="1">
        <v>1</v>
      </c>
      <c r="B5" s="2">
        <v>1.11E-2</v>
      </c>
      <c r="C5" s="1">
        <v>3.25</v>
      </c>
      <c r="D5" s="1">
        <f>C5/(1+B5)^A5</f>
        <v>3.2143210364949062</v>
      </c>
      <c r="F5">
        <f>C5</f>
        <v>3.25</v>
      </c>
    </row>
    <row r="6" spans="1:6" x14ac:dyDescent="0.4">
      <c r="A6" s="1">
        <v>2</v>
      </c>
      <c r="B6" s="2">
        <f>B5+0.23%</f>
        <v>1.34E-2</v>
      </c>
      <c r="C6" s="1">
        <v>3.25</v>
      </c>
      <c r="D6" s="1">
        <f t="shared" ref="D6:D11" si="0">C6/(1+B6)^A6</f>
        <v>3.1646199462820848</v>
      </c>
      <c r="F6">
        <f t="shared" ref="F6:F11" si="1">C6</f>
        <v>3.25</v>
      </c>
    </row>
    <row r="7" spans="1:6" x14ac:dyDescent="0.4">
      <c r="A7" s="1">
        <v>3</v>
      </c>
      <c r="B7" s="2">
        <f t="shared" ref="B7:B14" si="2">B6+0.23%</f>
        <v>1.5699999999999999E-2</v>
      </c>
      <c r="C7" s="1">
        <v>3.25</v>
      </c>
      <c r="D7" s="1">
        <f t="shared" si="0"/>
        <v>3.1016086816297093</v>
      </c>
      <c r="F7">
        <f t="shared" si="1"/>
        <v>3.25</v>
      </c>
    </row>
    <row r="8" spans="1:6" x14ac:dyDescent="0.4">
      <c r="A8" s="1">
        <v>4</v>
      </c>
      <c r="B8" s="2">
        <f t="shared" si="2"/>
        <v>1.7999999999999999E-2</v>
      </c>
      <c r="C8" s="1">
        <v>3.25</v>
      </c>
      <c r="D8" s="1">
        <f t="shared" si="0"/>
        <v>3.0261625261709661</v>
      </c>
      <c r="F8">
        <f t="shared" si="1"/>
        <v>3.25</v>
      </c>
    </row>
    <row r="9" spans="1:6" x14ac:dyDescent="0.4">
      <c r="A9" s="1">
        <v>5</v>
      </c>
      <c r="B9" s="2">
        <f t="shared" si="2"/>
        <v>2.0299999999999999E-2</v>
      </c>
      <c r="C9" s="1">
        <v>3.25</v>
      </c>
      <c r="D9" s="1">
        <f t="shared" si="0"/>
        <v>2.9393000884221121</v>
      </c>
      <c r="F9">
        <f t="shared" si="1"/>
        <v>3.25</v>
      </c>
    </row>
    <row r="10" spans="1:6" x14ac:dyDescent="0.4">
      <c r="A10" s="1">
        <v>6</v>
      </c>
      <c r="B10" s="2">
        <f t="shared" si="2"/>
        <v>2.2599999999999999E-2</v>
      </c>
      <c r="C10" s="1">
        <v>3.25</v>
      </c>
      <c r="D10" s="1">
        <f t="shared" si="0"/>
        <v>2.8421607045358517</v>
      </c>
      <c r="F10">
        <f t="shared" si="1"/>
        <v>3.25</v>
      </c>
    </row>
    <row r="11" spans="1:6" x14ac:dyDescent="0.4">
      <c r="A11" s="1">
        <v>7</v>
      </c>
      <c r="B11" s="2">
        <f t="shared" si="2"/>
        <v>2.4899999999999999E-2</v>
      </c>
      <c r="C11" s="1">
        <v>103.25</v>
      </c>
      <c r="D11" s="1">
        <f t="shared" si="0"/>
        <v>86.919978136602481</v>
      </c>
      <c r="F11">
        <f t="shared" si="1"/>
        <v>103.25</v>
      </c>
    </row>
    <row r="12" spans="1:6" x14ac:dyDescent="0.4">
      <c r="A12" s="1">
        <v>8</v>
      </c>
      <c r="B12" s="2">
        <f t="shared" si="2"/>
        <v>2.7199999999999998E-2</v>
      </c>
    </row>
    <row r="13" spans="1:6" x14ac:dyDescent="0.4">
      <c r="A13" s="1">
        <v>9</v>
      </c>
      <c r="B13" s="2">
        <f t="shared" si="2"/>
        <v>2.9499999999999998E-2</v>
      </c>
    </row>
    <row r="14" spans="1:6" x14ac:dyDescent="0.4">
      <c r="A14" s="1">
        <v>10</v>
      </c>
      <c r="B14" s="2">
        <f t="shared" si="2"/>
        <v>3.1799999999999995E-2</v>
      </c>
      <c r="C14" s="4" t="s">
        <v>6</v>
      </c>
      <c r="D14" s="3">
        <f>SUM(D5:D11)</f>
        <v>105.20815112013811</v>
      </c>
      <c r="E14" s="5" t="s">
        <v>7</v>
      </c>
    </row>
    <row r="15" spans="1:6" x14ac:dyDescent="0.4">
      <c r="C15" s="4" t="s">
        <v>8</v>
      </c>
      <c r="D15" s="8">
        <f>IRR(F4:F11)</f>
        <v>2.4318658316096142E-2</v>
      </c>
    </row>
    <row r="18" spans="1:7" x14ac:dyDescent="0.4">
      <c r="A18" s="7" t="s">
        <v>9</v>
      </c>
    </row>
    <row r="19" spans="1:7" x14ac:dyDescent="0.4">
      <c r="A19" t="s">
        <v>10</v>
      </c>
    </row>
    <row r="20" spans="1:7" x14ac:dyDescent="0.4">
      <c r="A20" t="s">
        <v>11</v>
      </c>
    </row>
    <row r="21" spans="1:7" x14ac:dyDescent="0.4">
      <c r="A21" t="s">
        <v>12</v>
      </c>
    </row>
    <row r="23" spans="1:7" x14ac:dyDescent="0.4">
      <c r="A23" s="9" t="s">
        <v>14</v>
      </c>
      <c r="B23" s="10">
        <v>1.7299999999999999E-2</v>
      </c>
    </row>
    <row r="24" spans="1:7" x14ac:dyDescent="0.4">
      <c r="A24" s="11" t="s">
        <v>6</v>
      </c>
      <c r="B24" s="12">
        <f>SUM(C27:C36)</f>
        <v>104.73762307218418</v>
      </c>
      <c r="E24" s="15" t="s">
        <v>14</v>
      </c>
      <c r="F24" s="15" t="s">
        <v>6</v>
      </c>
      <c r="G24" s="15" t="s">
        <v>15</v>
      </c>
    </row>
    <row r="25" spans="1:7" x14ac:dyDescent="0.4">
      <c r="E25" s="2">
        <v>7.3000000000000001E-3</v>
      </c>
      <c r="F25" s="1">
        <v>114.60712587890289</v>
      </c>
      <c r="G25" s="14">
        <f>(F25-F26)/F26</f>
        <v>9.4230731204552401E-2</v>
      </c>
    </row>
    <row r="26" spans="1:7" x14ac:dyDescent="0.4">
      <c r="A26" s="6" t="s">
        <v>13</v>
      </c>
      <c r="B26" s="6" t="s">
        <v>4</v>
      </c>
      <c r="C26" s="6" t="s">
        <v>5</v>
      </c>
      <c r="E26" s="2">
        <v>1.7299999999999999E-2</v>
      </c>
      <c r="F26" s="1">
        <v>104.73762307218418</v>
      </c>
      <c r="G26" s="1"/>
    </row>
    <row r="27" spans="1:7" x14ac:dyDescent="0.4">
      <c r="A27" s="1">
        <v>1</v>
      </c>
      <c r="B27" s="1">
        <v>2.25</v>
      </c>
      <c r="C27" s="1">
        <f>B27/(1+$B$23)^A27</f>
        <v>2.2117369507519902</v>
      </c>
      <c r="E27" s="2">
        <v>2.7300000000000001E-2</v>
      </c>
      <c r="F27" s="1">
        <v>95.848500775929239</v>
      </c>
      <c r="G27" s="14">
        <f>(F27-F26)/F26</f>
        <v>-8.4870384065605917E-2</v>
      </c>
    </row>
    <row r="28" spans="1:7" x14ac:dyDescent="0.4">
      <c r="A28" s="1">
        <v>2</v>
      </c>
      <c r="B28" s="1">
        <v>2.25</v>
      </c>
      <c r="C28" s="1">
        <f t="shared" ref="C28:C36" si="3">B28/(1+$B$23)^A28</f>
        <v>2.1741245952540944</v>
      </c>
    </row>
    <row r="29" spans="1:7" x14ac:dyDescent="0.4">
      <c r="A29" s="1">
        <v>3</v>
      </c>
      <c r="B29" s="1">
        <v>2.25</v>
      </c>
      <c r="C29" s="1">
        <f t="shared" si="3"/>
        <v>2.1371518679387536</v>
      </c>
      <c r="E29" s="2">
        <v>1.7399999999999999E-2</v>
      </c>
      <c r="F29" s="1">
        <v>104.64406836238483</v>
      </c>
    </row>
    <row r="30" spans="1:7" x14ac:dyDescent="0.4">
      <c r="A30" s="1">
        <v>4</v>
      </c>
      <c r="B30" s="1">
        <v>2.25</v>
      </c>
      <c r="C30" s="1">
        <f t="shared" si="3"/>
        <v>2.1008078914172348</v>
      </c>
    </row>
    <row r="31" spans="1:7" x14ac:dyDescent="0.4">
      <c r="A31" s="1">
        <v>5</v>
      </c>
      <c r="B31" s="1">
        <v>2.25</v>
      </c>
      <c r="C31" s="1">
        <f t="shared" si="3"/>
        <v>2.0650819732794994</v>
      </c>
      <c r="E31" s="16" t="s">
        <v>16</v>
      </c>
      <c r="F31" s="17">
        <f>-(F29-F26)*100/F26</f>
        <v>8.9322926237186226E-2</v>
      </c>
    </row>
    <row r="32" spans="1:7" x14ac:dyDescent="0.4">
      <c r="A32" s="1">
        <v>6</v>
      </c>
      <c r="B32" s="1">
        <v>2.25</v>
      </c>
      <c r="C32" s="1">
        <f t="shared" si="3"/>
        <v>2.0299636029484902</v>
      </c>
      <c r="E32" s="16" t="s">
        <v>17</v>
      </c>
      <c r="F32" s="18">
        <f>SUMPRODUCT(A27:A36,C27:C36)/SUM(C27:C36)</f>
        <v>9.0915747692180044</v>
      </c>
    </row>
    <row r="33" spans="1:6" x14ac:dyDescent="0.4">
      <c r="A33" s="1">
        <v>7</v>
      </c>
      <c r="B33" s="1">
        <v>2.25</v>
      </c>
      <c r="C33" s="1">
        <f t="shared" si="3"/>
        <v>1.9954424485879192</v>
      </c>
      <c r="E33" s="16" t="s">
        <v>18</v>
      </c>
      <c r="F33" s="19">
        <f>F32/(1+B23)</f>
        <v>8.9369652700462048</v>
      </c>
    </row>
    <row r="34" spans="1:6" x14ac:dyDescent="0.4">
      <c r="A34" s="1">
        <v>8</v>
      </c>
      <c r="B34" s="1">
        <v>2.25</v>
      </c>
      <c r="C34" s="1">
        <f t="shared" si="3"/>
        <v>1.961508354062635</v>
      </c>
    </row>
    <row r="35" spans="1:6" x14ac:dyDescent="0.4">
      <c r="A35" s="1">
        <v>9</v>
      </c>
      <c r="B35" s="1">
        <v>2.25</v>
      </c>
      <c r="C35" s="1">
        <f t="shared" si="3"/>
        <v>1.9281513359506879</v>
      </c>
      <c r="E35" s="16"/>
    </row>
    <row r="36" spans="1:6" x14ac:dyDescent="0.4">
      <c r="A36" s="1">
        <v>10</v>
      </c>
      <c r="B36" s="1">
        <v>102.25</v>
      </c>
      <c r="C36" s="1">
        <f t="shared" si="3"/>
        <v>86.133654051992877</v>
      </c>
      <c r="E36" s="16"/>
    </row>
    <row r="39" spans="1:6" x14ac:dyDescent="0.4">
      <c r="A39" s="7" t="s">
        <v>19</v>
      </c>
    </row>
    <row r="41" spans="1:6" x14ac:dyDescent="0.4">
      <c r="A41" t="s">
        <v>20</v>
      </c>
      <c r="B41" s="20">
        <v>43920</v>
      </c>
    </row>
    <row r="42" spans="1:6" x14ac:dyDescent="0.4">
      <c r="A42" t="s">
        <v>1</v>
      </c>
      <c r="B42" s="20">
        <v>45795</v>
      </c>
    </row>
    <row r="43" spans="1:6" x14ac:dyDescent="0.4">
      <c r="A43" t="s">
        <v>21</v>
      </c>
      <c r="B43">
        <v>5.5</v>
      </c>
    </row>
    <row r="44" spans="1:6" x14ac:dyDescent="0.4">
      <c r="A44" t="s">
        <v>22</v>
      </c>
      <c r="B44">
        <v>102.25</v>
      </c>
      <c r="C44" s="5" t="s">
        <v>28</v>
      </c>
    </row>
    <row r="46" spans="1:6" x14ac:dyDescent="0.4">
      <c r="A46" t="s">
        <v>23</v>
      </c>
      <c r="B46" s="20">
        <v>43603</v>
      </c>
    </row>
    <row r="47" spans="1:6" x14ac:dyDescent="0.4">
      <c r="A47" t="s">
        <v>24</v>
      </c>
      <c r="B47">
        <f>(B41-B46)/365</f>
        <v>0.86849315068493149</v>
      </c>
    </row>
    <row r="48" spans="1:6" x14ac:dyDescent="0.4">
      <c r="A48" t="s">
        <v>25</v>
      </c>
      <c r="B48">
        <f>B43*B47</f>
        <v>4.7767123287671236</v>
      </c>
    </row>
    <row r="50" spans="1:4" x14ac:dyDescent="0.4">
      <c r="A50" s="24" t="s">
        <v>26</v>
      </c>
      <c r="B50" s="3">
        <f>B44+B48</f>
        <v>107.02671232876712</v>
      </c>
      <c r="C50" s="5" t="s">
        <v>27</v>
      </c>
    </row>
    <row r="52" spans="1:4" x14ac:dyDescent="0.4">
      <c r="A52" s="21" t="s">
        <v>14</v>
      </c>
      <c r="B52" s="22">
        <v>4.9830165163340961E-2</v>
      </c>
      <c r="C52" s="13">
        <f>XIRR(B56:B62,A56:A62)</f>
        <v>4.983017742633819E-2</v>
      </c>
      <c r="D52" s="5" t="s">
        <v>30</v>
      </c>
    </row>
    <row r="55" spans="1:4" x14ac:dyDescent="0.4">
      <c r="A55" s="1"/>
      <c r="B55" s="15" t="s">
        <v>4</v>
      </c>
      <c r="C55" s="15" t="s">
        <v>29</v>
      </c>
      <c r="D55" s="15" t="s">
        <v>5</v>
      </c>
    </row>
    <row r="56" spans="1:4" x14ac:dyDescent="0.4">
      <c r="A56" s="23">
        <f>B41</f>
        <v>43920</v>
      </c>
      <c r="B56" s="1">
        <f>-B50</f>
        <v>-107.02671232876712</v>
      </c>
      <c r="C56" s="1">
        <f>(A56-$A$56)/365</f>
        <v>0</v>
      </c>
      <c r="D56" s="1">
        <f>B56/(1+$B$52)^C56</f>
        <v>-107.02671232876712</v>
      </c>
    </row>
    <row r="57" spans="1:4" x14ac:dyDescent="0.4">
      <c r="A57" s="23">
        <v>43969</v>
      </c>
      <c r="B57" s="1">
        <v>5.5</v>
      </c>
      <c r="C57" s="1">
        <f t="shared" ref="C57:C62" si="4">(A57-$A$56)/365</f>
        <v>0.13424657534246576</v>
      </c>
      <c r="D57" s="1">
        <f t="shared" ref="D57:D62" si="5">B57/(1+$B$52)^C57</f>
        <v>5.4642118615229407</v>
      </c>
    </row>
    <row r="58" spans="1:4" x14ac:dyDescent="0.4">
      <c r="A58" s="23">
        <v>44334</v>
      </c>
      <c r="B58" s="1">
        <v>5.5</v>
      </c>
      <c r="C58" s="1">
        <f t="shared" si="4"/>
        <v>1.1342465753424658</v>
      </c>
      <c r="D58" s="1">
        <f t="shared" si="5"/>
        <v>5.204853168486328</v>
      </c>
    </row>
    <row r="59" spans="1:4" x14ac:dyDescent="0.4">
      <c r="A59" s="23">
        <v>44699</v>
      </c>
      <c r="B59" s="1">
        <v>5.5</v>
      </c>
      <c r="C59" s="1">
        <f t="shared" si="4"/>
        <v>2.1342465753424658</v>
      </c>
      <c r="D59" s="1">
        <f t="shared" si="5"/>
        <v>4.957804929977903</v>
      </c>
    </row>
    <row r="60" spans="1:4" x14ac:dyDescent="0.4">
      <c r="A60" s="23">
        <v>45064</v>
      </c>
      <c r="B60" s="1">
        <v>5.5</v>
      </c>
      <c r="C60" s="1">
        <f t="shared" si="4"/>
        <v>3.1342465753424658</v>
      </c>
      <c r="D60" s="1">
        <f t="shared" si="5"/>
        <v>4.7224828305505273</v>
      </c>
    </row>
    <row r="61" spans="1:4" x14ac:dyDescent="0.4">
      <c r="A61" s="23">
        <v>45430</v>
      </c>
      <c r="B61" s="1">
        <v>5.5</v>
      </c>
      <c r="C61" s="1">
        <f t="shared" si="4"/>
        <v>4.1369863013698627</v>
      </c>
      <c r="D61" s="1">
        <f t="shared" si="5"/>
        <v>4.4977310233863594</v>
      </c>
    </row>
    <row r="62" spans="1:4" x14ac:dyDescent="0.4">
      <c r="A62" s="23">
        <v>45795</v>
      </c>
      <c r="B62" s="1">
        <v>105.5</v>
      </c>
      <c r="C62" s="1">
        <f t="shared" si="4"/>
        <v>5.1369863013698627</v>
      </c>
      <c r="D62" s="1">
        <f t="shared" si="5"/>
        <v>82.179633986699983</v>
      </c>
    </row>
    <row r="63" spans="1:4" x14ac:dyDescent="0.4">
      <c r="A63" s="1"/>
      <c r="B63" s="1"/>
      <c r="C63" s="1"/>
      <c r="D63" s="1"/>
    </row>
    <row r="64" spans="1:4" x14ac:dyDescent="0.4">
      <c r="A64" s="1"/>
      <c r="B64" s="1"/>
      <c r="C64" s="1"/>
      <c r="D64" s="1">
        <f>SUM(D56:D62)</f>
        <v>5.4718569231226866E-6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 Chaix</dc:creator>
  <cp:lastModifiedBy>Antonin Chaix</cp:lastModifiedBy>
  <dcterms:created xsi:type="dcterms:W3CDTF">2025-09-04T11:52:57Z</dcterms:created>
  <dcterms:modified xsi:type="dcterms:W3CDTF">2025-09-04T14:34:15Z</dcterms:modified>
</cp:coreProperties>
</file>